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BALU\OneDrive\Desktop\"/>
    </mc:Choice>
  </mc:AlternateContent>
  <xr:revisionPtr revIDLastSave="0" documentId="13_ncr:1_{14BB3C0D-7616-4804-9328-F0FEE7620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EIGHT" sheetId="2" r:id="rId1"/>
    <sheet name="Bill to Invoice" sheetId="9" r:id="rId2"/>
    <sheet name="ANNEXURE" sheetId="10" r:id="rId3"/>
    <sheet name="PARTY CREATION" sheetId="7" r:id="rId4"/>
    <sheet name="EXPENSES" sheetId="11" r:id="rId5"/>
  </sheets>
  <definedNames>
    <definedName name="_xlnm._FilterDatabase" localSheetId="0" hidden="1">FREIGHT!$C$3:$U$84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49" i="2" l="1"/>
  <c r="R49" i="2"/>
  <c r="C49" i="2"/>
  <c r="B11" i="9"/>
  <c r="T53" i="2"/>
  <c r="R60" i="2"/>
  <c r="T60" i="2" s="1"/>
  <c r="R59" i="2"/>
  <c r="T59" i="2" s="1"/>
  <c r="R58" i="2"/>
  <c r="T58" i="2" s="1"/>
  <c r="R57" i="2"/>
  <c r="T57" i="2" s="1"/>
  <c r="R56" i="2"/>
  <c r="T56" i="2" s="1"/>
  <c r="R55" i="2"/>
  <c r="T55" i="2" s="1"/>
  <c r="R54" i="2"/>
  <c r="T54" i="2" s="1"/>
  <c r="R53" i="2"/>
  <c r="R52" i="2"/>
  <c r="T52" i="2" s="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B61" i="2" s="1"/>
  <c r="AA62" i="2"/>
  <c r="AB62" i="2" s="1"/>
  <c r="AA63" i="2"/>
  <c r="AB63" i="2" s="1"/>
  <c r="AA64" i="2"/>
  <c r="AB64" i="2" s="1"/>
  <c r="AA65" i="2"/>
  <c r="AB65" i="2" s="1"/>
  <c r="AA66" i="2"/>
  <c r="AB66" i="2" s="1"/>
  <c r="AA67" i="2"/>
  <c r="AB67" i="2" s="1"/>
  <c r="AA68" i="2"/>
  <c r="AB68" i="2" s="1"/>
  <c r="AA69" i="2"/>
  <c r="AB69" i="2" s="1"/>
  <c r="AA70" i="2"/>
  <c r="AB70" i="2" s="1"/>
  <c r="AA71" i="2"/>
  <c r="AB71" i="2" s="1"/>
  <c r="AA72" i="2"/>
  <c r="AB72" i="2" s="1"/>
  <c r="AA73" i="2"/>
  <c r="AB73" i="2" s="1"/>
  <c r="AA74" i="2"/>
  <c r="AB74" i="2" s="1"/>
  <c r="AA75" i="2"/>
  <c r="AB75" i="2" s="1"/>
  <c r="AA76" i="2"/>
  <c r="AB76" i="2" s="1"/>
  <c r="AA77" i="2"/>
  <c r="AB77" i="2" s="1"/>
  <c r="AA78" i="2"/>
  <c r="AB78" i="2" s="1"/>
  <c r="AA79" i="2"/>
  <c r="AB79" i="2" s="1"/>
  <c r="AA80" i="2"/>
  <c r="AB80" i="2" s="1"/>
  <c r="AA81" i="2"/>
  <c r="AB81" i="2" s="1"/>
  <c r="AA82" i="2"/>
  <c r="AB82" i="2" s="1"/>
  <c r="AA83" i="2"/>
  <c r="AB83" i="2" s="1"/>
  <c r="AA84" i="2"/>
  <c r="AB84" i="2" s="1"/>
  <c r="R9" i="2"/>
  <c r="T9" i="2" s="1"/>
  <c r="R4" i="2"/>
  <c r="T4" i="2" s="1"/>
  <c r="R5" i="2"/>
  <c r="R6" i="2"/>
  <c r="R7" i="2"/>
  <c r="T7" i="2" s="1"/>
  <c r="R8" i="2"/>
  <c r="T8" i="2" s="1"/>
  <c r="R10" i="2"/>
  <c r="T10" i="2" s="1"/>
  <c r="R11" i="2"/>
  <c r="R12" i="2"/>
  <c r="R13" i="2"/>
  <c r="T13" i="2" s="1"/>
  <c r="R14" i="2"/>
  <c r="R15" i="2"/>
  <c r="T15" i="2"/>
  <c r="R16" i="2"/>
  <c r="T16" i="2" s="1"/>
  <c r="R17" i="2"/>
  <c r="T17" i="2" s="1"/>
  <c r="R18" i="2"/>
  <c r="T18" i="2" s="1"/>
  <c r="R19" i="2"/>
  <c r="T19" i="2" s="1"/>
  <c r="R20" i="2"/>
  <c r="T20" i="2" s="1"/>
  <c r="R21" i="2"/>
  <c r="T21" i="2" s="1"/>
  <c r="R22" i="2"/>
  <c r="T22" i="2" s="1"/>
  <c r="R23" i="2"/>
  <c r="R24" i="2"/>
  <c r="T24" i="2" s="1"/>
  <c r="R25" i="2"/>
  <c r="R26" i="2"/>
  <c r="T26" i="2" s="1"/>
  <c r="R27" i="2"/>
  <c r="R28" i="2"/>
  <c r="R29" i="2"/>
  <c r="T29" i="2" s="1"/>
  <c r="R30" i="2"/>
  <c r="T30" i="2" s="1"/>
  <c r="R31" i="2"/>
  <c r="T31" i="2" s="1"/>
  <c r="R32" i="2"/>
  <c r="T32" i="2" s="1"/>
  <c r="R33" i="2"/>
  <c r="T33" i="2" s="1"/>
  <c r="R34" i="2"/>
  <c r="T34" i="2" s="1"/>
  <c r="R35" i="2"/>
  <c r="R36" i="2"/>
  <c r="T36" i="2" s="1"/>
  <c r="R37" i="2"/>
  <c r="T37" i="2" s="1"/>
  <c r="R38" i="2"/>
  <c r="T38" i="2" s="1"/>
  <c r="R39" i="2"/>
  <c r="R40" i="2"/>
  <c r="R41" i="2"/>
  <c r="T41" i="2" s="1"/>
  <c r="R42" i="2"/>
  <c r="T42" i="2" s="1"/>
  <c r="R43" i="2"/>
  <c r="T43" i="2" s="1"/>
  <c r="R44" i="2"/>
  <c r="T44" i="2" s="1"/>
  <c r="R45" i="2"/>
  <c r="T45" i="2" s="1"/>
  <c r="R46" i="2"/>
  <c r="T46" i="2" s="1"/>
  <c r="R47" i="2"/>
  <c r="T47" i="2" s="1"/>
  <c r="R48" i="2"/>
  <c r="T48" i="2" s="1"/>
  <c r="R50" i="2"/>
  <c r="T50" i="2" s="1"/>
  <c r="R51" i="2"/>
  <c r="C30" i="2"/>
  <c r="C29" i="2"/>
  <c r="C28" i="2"/>
  <c r="C27" i="2"/>
  <c r="C34" i="2"/>
  <c r="C33" i="2"/>
  <c r="C32" i="2"/>
  <c r="C31" i="2"/>
  <c r="C38" i="2"/>
  <c r="C37" i="2"/>
  <c r="C36" i="2"/>
  <c r="C35" i="2"/>
  <c r="C42" i="2"/>
  <c r="C41" i="2"/>
  <c r="C40" i="2"/>
  <c r="C39" i="2"/>
  <c r="C46" i="2"/>
  <c r="C45" i="2"/>
  <c r="C44" i="2"/>
  <c r="C43" i="2"/>
  <c r="C50" i="2"/>
  <c r="C48" i="2"/>
  <c r="C47" i="2"/>
  <c r="C54" i="2"/>
  <c r="C53" i="2"/>
  <c r="C52" i="2"/>
  <c r="C51" i="2"/>
  <c r="C58" i="2"/>
  <c r="C57" i="2"/>
  <c r="C56" i="2"/>
  <c r="C55" i="2"/>
  <c r="C62" i="2"/>
  <c r="C61" i="2"/>
  <c r="C60" i="2"/>
  <c r="C59" i="2"/>
  <c r="C66" i="2"/>
  <c r="C65" i="2"/>
  <c r="C64" i="2"/>
  <c r="C63" i="2"/>
  <c r="C70" i="2"/>
  <c r="C69" i="2"/>
  <c r="C68" i="2"/>
  <c r="C67" i="2"/>
  <c r="C74" i="2"/>
  <c r="C73" i="2"/>
  <c r="C72" i="2"/>
  <c r="C71" i="2"/>
  <c r="C78" i="2"/>
  <c r="C77" i="2"/>
  <c r="C76" i="2"/>
  <c r="C75" i="2"/>
  <c r="C26" i="2"/>
  <c r="C25" i="2"/>
  <c r="C24" i="2"/>
  <c r="C23" i="2"/>
  <c r="C22" i="2"/>
  <c r="C21" i="2"/>
  <c r="C20" i="2"/>
  <c r="C19" i="2"/>
  <c r="C18" i="2"/>
  <c r="C17" i="2"/>
  <c r="C79" i="2"/>
  <c r="C80" i="2"/>
  <c r="C81" i="2"/>
  <c r="C82" i="2"/>
  <c r="C83" i="2"/>
  <c r="S85" i="2"/>
  <c r="P85" i="2"/>
  <c r="D3" i="10"/>
  <c r="G10" i="9" s="1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D4" i="10"/>
  <c r="D2" i="10" s="1"/>
  <c r="H3" i="2"/>
  <c r="K11" i="10" l="1"/>
  <c r="AB59" i="2"/>
  <c r="AB58" i="2"/>
  <c r="AB57" i="2"/>
  <c r="AB60" i="2"/>
  <c r="AB20" i="2"/>
  <c r="AB56" i="2"/>
  <c r="AB55" i="2"/>
  <c r="AB54" i="2"/>
  <c r="AB53" i="2"/>
  <c r="AB9" i="2"/>
  <c r="AB52" i="2"/>
  <c r="AB17" i="2"/>
  <c r="AB32" i="2"/>
  <c r="AB33" i="2"/>
  <c r="AB29" i="2"/>
  <c r="AB50" i="2"/>
  <c r="AB43" i="2"/>
  <c r="AB4" i="2"/>
  <c r="AB42" i="2"/>
  <c r="AB34" i="2"/>
  <c r="AB26" i="2"/>
  <c r="AB19" i="2"/>
  <c r="AB41" i="2"/>
  <c r="AB18" i="2"/>
  <c r="AB10" i="2"/>
  <c r="AB16" i="2"/>
  <c r="AB38" i="2"/>
  <c r="AB15" i="2"/>
  <c r="AB37" i="2"/>
  <c r="AB48" i="2"/>
  <c r="AB36" i="2"/>
  <c r="AB24" i="2"/>
  <c r="AB13" i="2"/>
  <c r="AB47" i="2"/>
  <c r="AB46" i="2"/>
  <c r="AB22" i="2"/>
  <c r="AB45" i="2"/>
  <c r="AB21" i="2"/>
  <c r="AB44" i="2"/>
  <c r="AB31" i="2"/>
  <c r="AB8" i="2"/>
  <c r="AB30" i="2"/>
  <c r="AB7" i="2"/>
  <c r="T6" i="2"/>
  <c r="AB6" i="2" s="1"/>
  <c r="T23" i="2"/>
  <c r="AB23" i="2" s="1"/>
  <c r="T14" i="2"/>
  <c r="AB14" i="2" s="1"/>
  <c r="T51" i="2"/>
  <c r="AB51" i="2" s="1"/>
  <c r="T11" i="2"/>
  <c r="AB11" i="2" s="1"/>
  <c r="T40" i="2"/>
  <c r="AB40" i="2" s="1"/>
  <c r="T39" i="2"/>
  <c r="AB39" i="2" s="1"/>
  <c r="T12" i="2"/>
  <c r="AB12" i="2" s="1"/>
  <c r="AB49" i="2"/>
  <c r="T28" i="2"/>
  <c r="AB28" i="2" s="1"/>
  <c r="T27" i="2"/>
  <c r="AB27" i="2" s="1"/>
  <c r="T35" i="2"/>
  <c r="AB35" i="2" s="1"/>
  <c r="T25" i="2"/>
  <c r="AB25" i="2" s="1"/>
  <c r="T5" i="2"/>
  <c r="AB5" i="2" s="1"/>
  <c r="G9" i="10"/>
  <c r="C6" i="10"/>
  <c r="O9" i="10"/>
  <c r="L8" i="10"/>
  <c r="H8" i="10"/>
  <c r="E7" i="10"/>
  <c r="L9" i="10"/>
  <c r="F7" i="10"/>
  <c r="N9" i="10"/>
  <c r="O8" i="10"/>
  <c r="G8" i="10"/>
  <c r="H7" i="10"/>
  <c r="D7" i="10"/>
  <c r="J7" i="10"/>
  <c r="I9" i="10"/>
  <c r="J8" i="10"/>
  <c r="F8" i="10"/>
  <c r="C7" i="10"/>
  <c r="O6" i="10"/>
  <c r="N6" i="10"/>
  <c r="L6" i="10"/>
  <c r="J6" i="10"/>
  <c r="I6" i="10"/>
  <c r="H6" i="10"/>
  <c r="G6" i="10"/>
  <c r="F6" i="10"/>
  <c r="E6" i="10"/>
  <c r="D6" i="10"/>
  <c r="H49" i="10" l="1"/>
  <c r="O49" i="10"/>
  <c r="G49" i="10"/>
  <c r="N49" i="10"/>
  <c r="F49" i="10"/>
  <c r="M49" i="10"/>
  <c r="E49" i="10"/>
  <c r="L49" i="10"/>
  <c r="D49" i="10"/>
  <c r="K49" i="10"/>
  <c r="C49" i="10"/>
  <c r="J49" i="10"/>
  <c r="I49" i="10"/>
  <c r="F58" i="10"/>
  <c r="H58" i="10"/>
  <c r="H16" i="10"/>
  <c r="I58" i="10"/>
  <c r="I62" i="10"/>
  <c r="C16" i="10"/>
  <c r="L16" i="10"/>
  <c r="J62" i="10"/>
  <c r="N16" i="10"/>
  <c r="J58" i="10"/>
  <c r="H62" i="10"/>
  <c r="G58" i="10"/>
  <c r="J16" i="10"/>
  <c r="K58" i="10"/>
  <c r="C62" i="10"/>
  <c r="K62" i="10"/>
  <c r="F16" i="10"/>
  <c r="L58" i="10"/>
  <c r="M62" i="10"/>
  <c r="M16" i="10"/>
  <c r="M58" i="10"/>
  <c r="G62" i="10"/>
  <c r="I16" i="10"/>
  <c r="N58" i="10"/>
  <c r="F62" i="10"/>
  <c r="D16" i="10"/>
  <c r="E16" i="10"/>
  <c r="C58" i="10"/>
  <c r="E62" i="10"/>
  <c r="O16" i="10"/>
  <c r="D58" i="10"/>
  <c r="O58" i="10"/>
  <c r="D62" i="10"/>
  <c r="G16" i="10"/>
  <c r="L62" i="10"/>
  <c r="K16" i="10"/>
  <c r="E58" i="10"/>
  <c r="N62" i="10"/>
  <c r="O62" i="10"/>
  <c r="N63" i="10"/>
  <c r="C63" i="10"/>
  <c r="O63" i="10"/>
  <c r="D63" i="10"/>
  <c r="K63" i="10"/>
  <c r="M63" i="10"/>
  <c r="E63" i="10"/>
  <c r="F63" i="10"/>
  <c r="I63" i="10"/>
  <c r="G63" i="10"/>
  <c r="H63" i="10"/>
  <c r="J63" i="10"/>
  <c r="L63" i="10"/>
  <c r="F23" i="10"/>
  <c r="E23" i="10"/>
  <c r="D23" i="10"/>
  <c r="O23" i="10"/>
  <c r="C23" i="10"/>
  <c r="N23" i="10"/>
  <c r="M23" i="10"/>
  <c r="L23" i="10"/>
  <c r="J23" i="10"/>
  <c r="K23" i="10"/>
  <c r="I23" i="10"/>
  <c r="H23" i="10"/>
  <c r="G23" i="10"/>
  <c r="L37" i="10"/>
  <c r="K37" i="10"/>
  <c r="J37" i="10"/>
  <c r="I37" i="10"/>
  <c r="H37" i="10"/>
  <c r="F37" i="10"/>
  <c r="D37" i="10"/>
  <c r="O37" i="10"/>
  <c r="M37" i="10"/>
  <c r="G37" i="10"/>
  <c r="E37" i="10"/>
  <c r="C37" i="10"/>
  <c r="N37" i="10"/>
  <c r="O22" i="10"/>
  <c r="C22" i="10"/>
  <c r="N22" i="10"/>
  <c r="M22" i="10"/>
  <c r="L22" i="10"/>
  <c r="K22" i="10"/>
  <c r="D22" i="10"/>
  <c r="J22" i="10"/>
  <c r="I22" i="10"/>
  <c r="H22" i="10"/>
  <c r="G22" i="10"/>
  <c r="F22" i="10"/>
  <c r="E22" i="10"/>
  <c r="N45" i="10"/>
  <c r="M45" i="10"/>
  <c r="L45" i="10"/>
  <c r="K45" i="10"/>
  <c r="J45" i="10"/>
  <c r="I45" i="10"/>
  <c r="H45" i="10"/>
  <c r="C45" i="10"/>
  <c r="G45" i="10"/>
  <c r="D45" i="10"/>
  <c r="F45" i="10"/>
  <c r="E45" i="10"/>
  <c r="O45" i="10"/>
  <c r="O46" i="10"/>
  <c r="M46" i="10"/>
  <c r="L46" i="10"/>
  <c r="K46" i="10"/>
  <c r="J46" i="10"/>
  <c r="I46" i="10"/>
  <c r="H46" i="10"/>
  <c r="C46" i="10"/>
  <c r="G46" i="10"/>
  <c r="F46" i="10"/>
  <c r="E46" i="10"/>
  <c r="D46" i="10"/>
  <c r="N46" i="10"/>
  <c r="N47" i="10"/>
  <c r="M47" i="10"/>
  <c r="L47" i="10"/>
  <c r="K47" i="10"/>
  <c r="J47" i="10"/>
  <c r="O47" i="10"/>
  <c r="I47" i="10"/>
  <c r="H47" i="10"/>
  <c r="G47" i="10"/>
  <c r="F47" i="10"/>
  <c r="C47" i="10"/>
  <c r="E47" i="10"/>
  <c r="D47" i="10"/>
  <c r="O48" i="10"/>
  <c r="C48" i="10"/>
  <c r="M48" i="10"/>
  <c r="L48" i="10"/>
  <c r="K48" i="10"/>
  <c r="J48" i="10"/>
  <c r="N48" i="10"/>
  <c r="I48" i="10"/>
  <c r="H48" i="10"/>
  <c r="G48" i="10"/>
  <c r="F48" i="10"/>
  <c r="E48" i="10"/>
  <c r="D48" i="10"/>
  <c r="N55" i="10"/>
  <c r="M55" i="10"/>
  <c r="L55" i="10"/>
  <c r="D55" i="10"/>
  <c r="K55" i="10"/>
  <c r="J55" i="10"/>
  <c r="I55" i="10"/>
  <c r="H55" i="10"/>
  <c r="E55" i="10"/>
  <c r="C55" i="10"/>
  <c r="G55" i="10"/>
  <c r="O55" i="10"/>
  <c r="F55" i="10"/>
  <c r="M56" i="10"/>
  <c r="J56" i="10"/>
  <c r="O56" i="10"/>
  <c r="L56" i="10"/>
  <c r="I56" i="10"/>
  <c r="N56" i="10"/>
  <c r="H56" i="10"/>
  <c r="K56" i="10"/>
  <c r="G56" i="10"/>
  <c r="F56" i="10"/>
  <c r="E56" i="10"/>
  <c r="D56" i="10"/>
  <c r="C56" i="10"/>
  <c r="M57" i="10"/>
  <c r="L57" i="10"/>
  <c r="K57" i="10"/>
  <c r="J57" i="10"/>
  <c r="I57" i="10"/>
  <c r="H57" i="10"/>
  <c r="G57" i="10"/>
  <c r="O57" i="10"/>
  <c r="F57" i="10"/>
  <c r="C57" i="10"/>
  <c r="E57" i="10"/>
  <c r="D57" i="10"/>
  <c r="N57" i="10"/>
  <c r="O59" i="10"/>
  <c r="C59" i="10"/>
  <c r="N59" i="10"/>
  <c r="M59" i="10"/>
  <c r="L59" i="10"/>
  <c r="F59" i="10"/>
  <c r="K59" i="10"/>
  <c r="D59" i="10"/>
  <c r="J59" i="10"/>
  <c r="I59" i="10"/>
  <c r="H59" i="10"/>
  <c r="G59" i="10"/>
  <c r="E59" i="10"/>
  <c r="F17" i="10"/>
  <c r="J17" i="10"/>
  <c r="N17" i="10"/>
  <c r="C17" i="10"/>
  <c r="G17" i="10"/>
  <c r="K17" i="10"/>
  <c r="O17" i="10"/>
  <c r="E17" i="10"/>
  <c r="I17" i="10"/>
  <c r="M17" i="10"/>
  <c r="D17" i="10"/>
  <c r="H17" i="10"/>
  <c r="L17" i="10"/>
  <c r="G7" i="10"/>
  <c r="N8" i="10"/>
  <c r="E8" i="10"/>
  <c r="L7" i="10"/>
  <c r="F9" i="10"/>
  <c r="I8" i="10"/>
  <c r="I7" i="10"/>
  <c r="C9" i="10"/>
  <c r="N7" i="10"/>
  <c r="O7" i="10"/>
  <c r="E9" i="10"/>
  <c r="H9" i="10"/>
  <c r="C8" i="10"/>
  <c r="A8" i="10" s="1"/>
  <c r="J9" i="10"/>
  <c r="D9" i="10"/>
  <c r="D8" i="10"/>
  <c r="G14" i="10"/>
  <c r="E13" i="10"/>
  <c r="M10" i="10"/>
  <c r="H14" i="10"/>
  <c r="E12" i="10"/>
  <c r="C12" i="10"/>
  <c r="L10" i="10"/>
  <c r="K15" i="10"/>
  <c r="F13" i="10"/>
  <c r="C10" i="10"/>
  <c r="M14" i="10"/>
  <c r="F12" i="10"/>
  <c r="I13" i="10"/>
  <c r="L14" i="10"/>
  <c r="O15" i="10"/>
  <c r="K10" i="10"/>
  <c r="M12" i="10"/>
  <c r="O14" i="10"/>
  <c r="G12" i="10"/>
  <c r="J13" i="10"/>
  <c r="D15" i="10"/>
  <c r="G10" i="10"/>
  <c r="D10" i="10"/>
  <c r="G11" i="10"/>
  <c r="J12" i="10"/>
  <c r="M13" i="10"/>
  <c r="C15" i="10"/>
  <c r="H13" i="10"/>
  <c r="J15" i="10"/>
  <c r="E10" i="10"/>
  <c r="K12" i="10"/>
  <c r="N13" i="10"/>
  <c r="L15" i="10"/>
  <c r="O10" i="10"/>
  <c r="H10" i="10"/>
  <c r="N12" i="10"/>
  <c r="D14" i="10"/>
  <c r="G15" i="10"/>
  <c r="L13" i="10"/>
  <c r="I10" i="10"/>
  <c r="L11" i="10"/>
  <c r="O12" i="10"/>
  <c r="I14" i="10"/>
  <c r="D13" i="10"/>
  <c r="N11" i="10"/>
  <c r="H12" i="10"/>
  <c r="N15" i="10"/>
  <c r="C13" i="10"/>
  <c r="N14" i="10"/>
  <c r="K14" i="10"/>
  <c r="J10" i="10"/>
  <c r="I15" i="10"/>
  <c r="K13" i="10"/>
  <c r="F14" i="10"/>
  <c r="E14" i="10"/>
  <c r="H15" i="10"/>
  <c r="I12" i="10"/>
  <c r="F15" i="10"/>
  <c r="F10" i="10"/>
  <c r="L12" i="10"/>
  <c r="O13" i="10"/>
  <c r="E15" i="10"/>
  <c r="C14" i="10"/>
  <c r="N10" i="10"/>
  <c r="D12" i="10"/>
  <c r="G13" i="10"/>
  <c r="J14" i="10"/>
  <c r="M15" i="10"/>
  <c r="A7" i="10"/>
  <c r="I50" i="10" l="1"/>
  <c r="H50" i="10"/>
  <c r="O50" i="10"/>
  <c r="G50" i="10"/>
  <c r="N50" i="10"/>
  <c r="F50" i="10"/>
  <c r="M50" i="10"/>
  <c r="E50" i="10"/>
  <c r="L50" i="10"/>
  <c r="D50" i="10"/>
  <c r="K50" i="10"/>
  <c r="C50" i="10"/>
  <c r="J50" i="10"/>
  <c r="O24" i="10"/>
  <c r="C24" i="10"/>
  <c r="N24" i="10"/>
  <c r="M24" i="10"/>
  <c r="L24" i="10"/>
  <c r="K24" i="10"/>
  <c r="J24" i="10"/>
  <c r="I24" i="10"/>
  <c r="G24" i="10"/>
  <c r="H24" i="10"/>
  <c r="F24" i="10"/>
  <c r="E24" i="10"/>
  <c r="D24" i="10"/>
  <c r="I38" i="10"/>
  <c r="H38" i="10"/>
  <c r="E38" i="10"/>
  <c r="O38" i="10"/>
  <c r="G38" i="10"/>
  <c r="F38" i="10"/>
  <c r="D38" i="10"/>
  <c r="C38" i="10"/>
  <c r="N38" i="10"/>
  <c r="M38" i="10"/>
  <c r="L38" i="10"/>
  <c r="J38" i="10"/>
  <c r="K38" i="10"/>
  <c r="N60" i="10"/>
  <c r="M60" i="10"/>
  <c r="L60" i="10"/>
  <c r="O60" i="10"/>
  <c r="K60" i="10"/>
  <c r="I60" i="10"/>
  <c r="D60" i="10"/>
  <c r="J60" i="10"/>
  <c r="H60" i="10"/>
  <c r="E60" i="10"/>
  <c r="G60" i="10"/>
  <c r="F60" i="10"/>
  <c r="C60" i="10"/>
  <c r="C18" i="10"/>
  <c r="G18" i="10"/>
  <c r="K18" i="10"/>
  <c r="O18" i="10"/>
  <c r="D18" i="10"/>
  <c r="H18" i="10"/>
  <c r="L18" i="10"/>
  <c r="F18" i="10"/>
  <c r="J18" i="10"/>
  <c r="E18" i="10"/>
  <c r="I18" i="10"/>
  <c r="M18" i="10"/>
  <c r="N18" i="10"/>
  <c r="A9" i="10"/>
  <c r="J51" i="10" l="1"/>
  <c r="I51" i="10"/>
  <c r="H51" i="10"/>
  <c r="O51" i="10"/>
  <c r="G51" i="10"/>
  <c r="N51" i="10"/>
  <c r="F51" i="10"/>
  <c r="M51" i="10"/>
  <c r="E51" i="10"/>
  <c r="L51" i="10"/>
  <c r="D51" i="10"/>
  <c r="K51" i="10"/>
  <c r="C51" i="10"/>
  <c r="L25" i="10"/>
  <c r="K25" i="10"/>
  <c r="J25" i="10"/>
  <c r="I25" i="10"/>
  <c r="H25" i="10"/>
  <c r="G25" i="10"/>
  <c r="F25" i="10"/>
  <c r="E25" i="10"/>
  <c r="D25" i="10"/>
  <c r="O25" i="10"/>
  <c r="C25" i="10"/>
  <c r="N25" i="10"/>
  <c r="M25" i="10"/>
  <c r="F39" i="10"/>
  <c r="E39" i="10"/>
  <c r="D39" i="10"/>
  <c r="C39" i="10"/>
  <c r="N39" i="10"/>
  <c r="L39" i="10"/>
  <c r="K39" i="10"/>
  <c r="J39" i="10"/>
  <c r="I39" i="10"/>
  <c r="G39" i="10"/>
  <c r="M39" i="10"/>
  <c r="O39" i="10"/>
  <c r="H39" i="10"/>
  <c r="O61" i="10"/>
  <c r="C61" i="10"/>
  <c r="N61" i="10"/>
  <c r="M61" i="10"/>
  <c r="L61" i="10"/>
  <c r="K61" i="10"/>
  <c r="J61" i="10"/>
  <c r="I61" i="10"/>
  <c r="D61" i="10"/>
  <c r="H61" i="10"/>
  <c r="E61" i="10"/>
  <c r="G61" i="10"/>
  <c r="F61" i="10"/>
  <c r="D19" i="10"/>
  <c r="H19" i="10"/>
  <c r="L19" i="10"/>
  <c r="E19" i="10"/>
  <c r="I19" i="10"/>
  <c r="M19" i="10"/>
  <c r="C19" i="10"/>
  <c r="K19" i="10"/>
  <c r="F19" i="10"/>
  <c r="J19" i="10"/>
  <c r="N19" i="10"/>
  <c r="G19" i="10"/>
  <c r="O19" i="10"/>
  <c r="K52" i="10" l="1"/>
  <c r="C52" i="10"/>
  <c r="J52" i="10"/>
  <c r="I52" i="10"/>
  <c r="H52" i="10"/>
  <c r="O52" i="10"/>
  <c r="G52" i="10"/>
  <c r="N52" i="10"/>
  <c r="F52" i="10"/>
  <c r="M52" i="10"/>
  <c r="E52" i="10"/>
  <c r="L52" i="10"/>
  <c r="D52" i="10"/>
  <c r="I26" i="10"/>
  <c r="H26" i="10"/>
  <c r="G26" i="10"/>
  <c r="F26" i="10"/>
  <c r="E26" i="10"/>
  <c r="D26" i="10"/>
  <c r="O26" i="10"/>
  <c r="C26" i="10"/>
  <c r="N26" i="10"/>
  <c r="M26" i="10"/>
  <c r="L26" i="10"/>
  <c r="K26" i="10"/>
  <c r="J26" i="10"/>
  <c r="O40" i="10"/>
  <c r="C40" i="10"/>
  <c r="N40" i="10"/>
  <c r="K40" i="10"/>
  <c r="J40" i="10"/>
  <c r="I40" i="10"/>
  <c r="D40" i="10"/>
  <c r="M40" i="10"/>
  <c r="L40" i="10"/>
  <c r="H40" i="10"/>
  <c r="F40" i="10"/>
  <c r="G40" i="10"/>
  <c r="E40" i="10"/>
  <c r="A12" i="10"/>
  <c r="A10" i="10"/>
  <c r="E20" i="10"/>
  <c r="I20" i="10"/>
  <c r="M20" i="10"/>
  <c r="F20" i="10"/>
  <c r="J20" i="10"/>
  <c r="N20" i="10"/>
  <c r="D20" i="10"/>
  <c r="L20" i="10"/>
  <c r="C20" i="10"/>
  <c r="G20" i="10"/>
  <c r="K20" i="10"/>
  <c r="O20" i="10"/>
  <c r="H20" i="10"/>
  <c r="L53" i="10" l="1"/>
  <c r="D53" i="10"/>
  <c r="K53" i="10"/>
  <c r="C53" i="10"/>
  <c r="J53" i="10"/>
  <c r="I53" i="10"/>
  <c r="H53" i="10"/>
  <c r="O53" i="10"/>
  <c r="G53" i="10"/>
  <c r="N53" i="10"/>
  <c r="F53" i="10"/>
  <c r="M53" i="10"/>
  <c r="E53" i="10"/>
  <c r="F27" i="10"/>
  <c r="E27" i="10"/>
  <c r="D27" i="10"/>
  <c r="O27" i="10"/>
  <c r="C27" i="10"/>
  <c r="N27" i="10"/>
  <c r="M27" i="10"/>
  <c r="L27" i="10"/>
  <c r="J27" i="10"/>
  <c r="K27" i="10"/>
  <c r="I27" i="10"/>
  <c r="H27" i="10"/>
  <c r="G27" i="10"/>
  <c r="L41" i="10"/>
  <c r="K41" i="10"/>
  <c r="J41" i="10"/>
  <c r="I41" i="10"/>
  <c r="H41" i="10"/>
  <c r="G41" i="10"/>
  <c r="F41" i="10"/>
  <c r="E41" i="10"/>
  <c r="O41" i="10"/>
  <c r="D41" i="10"/>
  <c r="C41" i="10"/>
  <c r="M41" i="10"/>
  <c r="N41" i="10"/>
  <c r="A11" i="10"/>
  <c r="F21" i="10"/>
  <c r="J21" i="10"/>
  <c r="N21" i="10"/>
  <c r="C21" i="10"/>
  <c r="G21" i="10"/>
  <c r="K21" i="10"/>
  <c r="O21" i="10"/>
  <c r="E21" i="10"/>
  <c r="I21" i="10"/>
  <c r="D21" i="10"/>
  <c r="H21" i="10"/>
  <c r="L21" i="10"/>
  <c r="M21" i="10"/>
  <c r="R3" i="2"/>
  <c r="M54" i="10" l="1"/>
  <c r="E54" i="10"/>
  <c r="L54" i="10"/>
  <c r="D54" i="10"/>
  <c r="K54" i="10"/>
  <c r="C54" i="10"/>
  <c r="J54" i="10"/>
  <c r="I54" i="10"/>
  <c r="H54" i="10"/>
  <c r="O54" i="10"/>
  <c r="G54" i="10"/>
  <c r="N54" i="10"/>
  <c r="F54" i="10"/>
  <c r="A25" i="10"/>
  <c r="A26" i="10"/>
  <c r="A27" i="10"/>
  <c r="A23" i="10"/>
  <c r="A24" i="10"/>
  <c r="O28" i="10"/>
  <c r="C28" i="10"/>
  <c r="N28" i="10"/>
  <c r="M28" i="10"/>
  <c r="L28" i="10"/>
  <c r="K28" i="10"/>
  <c r="J28" i="10"/>
  <c r="I28" i="10"/>
  <c r="H28" i="10"/>
  <c r="G28" i="10"/>
  <c r="F28" i="10"/>
  <c r="E28" i="10"/>
  <c r="D28" i="10"/>
  <c r="I42" i="10"/>
  <c r="H42" i="10"/>
  <c r="G42" i="10"/>
  <c r="E42" i="10"/>
  <c r="D42" i="10"/>
  <c r="O42" i="10"/>
  <c r="N42" i="10"/>
  <c r="F42" i="10"/>
  <c r="L42" i="10"/>
  <c r="C42" i="10"/>
  <c r="M42" i="10"/>
  <c r="J42" i="10"/>
  <c r="K42" i="10"/>
  <c r="A22" i="10"/>
  <c r="A17" i="10"/>
  <c r="A21" i="10"/>
  <c r="A18" i="10"/>
  <c r="K6" i="10"/>
  <c r="T6" i="10" s="1"/>
  <c r="R85" i="2"/>
  <c r="M9" i="10"/>
  <c r="K9" i="10"/>
  <c r="M7" i="10"/>
  <c r="K7" i="10"/>
  <c r="M8" i="10"/>
  <c r="K8" i="10"/>
  <c r="T3" i="2"/>
  <c r="AB3" i="2" s="1"/>
  <c r="L29" i="10" l="1"/>
  <c r="K29" i="10"/>
  <c r="J29" i="10"/>
  <c r="I29" i="10"/>
  <c r="H29" i="10"/>
  <c r="G29" i="10"/>
  <c r="F29" i="10"/>
  <c r="E29" i="10"/>
  <c r="D29" i="10"/>
  <c r="O29" i="10"/>
  <c r="C29" i="10"/>
  <c r="A29" i="10" s="1"/>
  <c r="N29" i="10"/>
  <c r="M29" i="10"/>
  <c r="A28" i="10"/>
  <c r="F43" i="10"/>
  <c r="E43" i="10"/>
  <c r="D43" i="10"/>
  <c r="O43" i="10"/>
  <c r="N43" i="10"/>
  <c r="I43" i="10"/>
  <c r="G43" i="10"/>
  <c r="C43" i="10"/>
  <c r="M43" i="10"/>
  <c r="L43" i="10"/>
  <c r="K43" i="10"/>
  <c r="J43" i="10"/>
  <c r="H43" i="10"/>
  <c r="A16" i="10"/>
  <c r="A15" i="10"/>
  <c r="A19" i="10"/>
  <c r="A20" i="10"/>
  <c r="A14" i="10"/>
  <c r="A13" i="10"/>
  <c r="T85" i="2"/>
  <c r="M6" i="10"/>
  <c r="I30" i="10" l="1"/>
  <c r="H30" i="10"/>
  <c r="G30" i="10"/>
  <c r="F30" i="10"/>
  <c r="E30" i="10"/>
  <c r="D30" i="10"/>
  <c r="O30" i="10"/>
  <c r="C30" i="10"/>
  <c r="N30" i="10"/>
  <c r="M30" i="10"/>
  <c r="L30" i="10"/>
  <c r="K30" i="10"/>
  <c r="J30" i="10"/>
  <c r="O44" i="10"/>
  <c r="C44" i="10"/>
  <c r="N44" i="10"/>
  <c r="M44" i="10"/>
  <c r="K44" i="10"/>
  <c r="I44" i="10"/>
  <c r="H44" i="10"/>
  <c r="G44" i="10"/>
  <c r="L44" i="10"/>
  <c r="J44" i="10"/>
  <c r="F44" i="10"/>
  <c r="D44" i="10"/>
  <c r="E44" i="10"/>
  <c r="A30" i="10" l="1"/>
  <c r="F31" i="10"/>
  <c r="E31" i="10"/>
  <c r="D31" i="10"/>
  <c r="O31" i="10"/>
  <c r="C31" i="10"/>
  <c r="N31" i="10"/>
  <c r="M31" i="10"/>
  <c r="L31" i="10"/>
  <c r="K31" i="10"/>
  <c r="J31" i="10"/>
  <c r="I31" i="10"/>
  <c r="H31" i="10"/>
  <c r="G31" i="10"/>
  <c r="C6" i="2"/>
  <c r="C7" i="2"/>
  <c r="C8" i="2"/>
  <c r="C9" i="2"/>
  <c r="C10" i="2"/>
  <c r="C11" i="2"/>
  <c r="C13" i="2"/>
  <c r="C14" i="2"/>
  <c r="C15" i="2"/>
  <c r="C16" i="2"/>
  <c r="C3" i="2"/>
  <c r="C4" i="2"/>
  <c r="C5" i="2"/>
  <c r="C12" i="2"/>
  <c r="A31" i="10" l="1"/>
  <c r="O32" i="10"/>
  <c r="C32" i="10"/>
  <c r="N32" i="10"/>
  <c r="M32" i="10"/>
  <c r="L32" i="10"/>
  <c r="K32" i="10"/>
  <c r="J32" i="10"/>
  <c r="I32" i="10"/>
  <c r="H32" i="10"/>
  <c r="G32" i="10"/>
  <c r="F32" i="10"/>
  <c r="E32" i="10"/>
  <c r="D32" i="10"/>
  <c r="A32" i="10" l="1"/>
  <c r="L33" i="10"/>
  <c r="K33" i="10"/>
  <c r="J33" i="10"/>
  <c r="I33" i="10"/>
  <c r="H33" i="10"/>
  <c r="G33" i="10"/>
  <c r="F33" i="10"/>
  <c r="E33" i="10"/>
  <c r="D33" i="10"/>
  <c r="O33" i="10"/>
  <c r="C33" i="10"/>
  <c r="N33" i="10"/>
  <c r="M33" i="10"/>
  <c r="A33" i="10" l="1"/>
  <c r="I34" i="10"/>
  <c r="H34" i="10"/>
  <c r="G34" i="10"/>
  <c r="F34" i="10"/>
  <c r="E34" i="10"/>
  <c r="D34" i="10"/>
  <c r="O34" i="10"/>
  <c r="C34" i="10"/>
  <c r="N34" i="10"/>
  <c r="M34" i="10"/>
  <c r="L34" i="10"/>
  <c r="K34" i="10"/>
  <c r="J34" i="10"/>
  <c r="A34" i="10" l="1"/>
  <c r="F35" i="10"/>
  <c r="E35" i="10"/>
  <c r="D35" i="10"/>
  <c r="O35" i="10"/>
  <c r="C35" i="10"/>
  <c r="N35" i="10"/>
  <c r="M35" i="10"/>
  <c r="L35" i="10"/>
  <c r="K35" i="10"/>
  <c r="J35" i="10"/>
  <c r="I35" i="10"/>
  <c r="H35" i="10"/>
  <c r="G35" i="10"/>
  <c r="O36" i="10" l="1"/>
  <c r="C36" i="10"/>
  <c r="A50" i="10" s="1"/>
  <c r="N36" i="10"/>
  <c r="M36" i="10"/>
  <c r="M64" i="10" s="1"/>
  <c r="H20" i="9" s="1"/>
  <c r="H34" i="9" s="1"/>
  <c r="H45" i="9" s="1"/>
  <c r="L36" i="10"/>
  <c r="L64" i="10" s="1"/>
  <c r="K36" i="10"/>
  <c r="K64" i="10" s="1"/>
  <c r="J36" i="10"/>
  <c r="I36" i="10"/>
  <c r="H36" i="10"/>
  <c r="G36" i="10"/>
  <c r="F36" i="10"/>
  <c r="E36" i="10"/>
  <c r="D36" i="10"/>
  <c r="A35" i="10"/>
  <c r="A58" i="10" l="1"/>
  <c r="A53" i="10"/>
  <c r="A54" i="10"/>
  <c r="A49" i="10"/>
  <c r="A51" i="10"/>
  <c r="A52" i="10"/>
  <c r="A59" i="10"/>
  <c r="A45" i="10"/>
  <c r="A43" i="10"/>
  <c r="A63" i="10"/>
  <c r="A62" i="10"/>
  <c r="A36" i="10"/>
  <c r="A38" i="10"/>
  <c r="A41" i="10"/>
  <c r="A42" i="10"/>
  <c r="A39" i="10"/>
  <c r="A37" i="10"/>
  <c r="A61" i="10"/>
  <c r="A40" i="10"/>
  <c r="A55" i="10"/>
  <c r="A48" i="10"/>
  <c r="A46" i="10"/>
  <c r="A47" i="10"/>
  <c r="A60" i="10"/>
  <c r="A56" i="10"/>
  <c r="A57" i="10"/>
  <c r="A44" i="10"/>
</calcChain>
</file>

<file path=xl/sharedStrings.xml><?xml version="1.0" encoding="utf-8"?>
<sst xmlns="http://schemas.openxmlformats.org/spreadsheetml/2006/main" count="281" uniqueCount="117">
  <si>
    <t>DATE</t>
  </si>
  <si>
    <t>VH NO</t>
  </si>
  <si>
    <t>PARTY BILL NO</t>
  </si>
  <si>
    <t>WEIGHT</t>
  </si>
  <si>
    <t>DETAINTION</t>
  </si>
  <si>
    <t>BILLING PARTY</t>
  </si>
  <si>
    <t>FROM</t>
  </si>
  <si>
    <t>TO</t>
  </si>
  <si>
    <t>DISTANCE (IN KM)</t>
  </si>
  <si>
    <t>SR NO</t>
  </si>
  <si>
    <t>CHAKAN</t>
  </si>
  <si>
    <t>DRIVER</t>
  </si>
  <si>
    <t>BILLING PARTY NAME</t>
  </si>
  <si>
    <t>BILL TO INVOICE</t>
  </si>
  <si>
    <t>Total</t>
  </si>
  <si>
    <t>BASIC FREIGHT</t>
  </si>
  <si>
    <t>ACTUAL FREIGHT</t>
  </si>
  <si>
    <t>BILL NO</t>
  </si>
  <si>
    <t>SR</t>
  </si>
  <si>
    <t>QTY</t>
  </si>
  <si>
    <t>BILL DATE</t>
  </si>
  <si>
    <t>ADDRESS</t>
  </si>
  <si>
    <t>VENDOR CODE</t>
  </si>
  <si>
    <t>PARTY NAME:-</t>
  </si>
  <si>
    <t>DET</t>
  </si>
  <si>
    <t>TOTAL</t>
  </si>
  <si>
    <t>TOTAL AMOUNT</t>
  </si>
  <si>
    <t>DETAINTION DETAILS</t>
  </si>
  <si>
    <t>FROM PARTY NAME</t>
  </si>
  <si>
    <t>FROM PLACE</t>
  </si>
  <si>
    <t>TO PARTY NAME</t>
  </si>
  <si>
    <t>TO PLACE</t>
  </si>
  <si>
    <t>BILLING CODE</t>
  </si>
  <si>
    <t>TALAWADE</t>
  </si>
  <si>
    <t>BILL NO :-</t>
  </si>
  <si>
    <t>BILL DATE :-</t>
  </si>
  <si>
    <t>DET. REMARK</t>
  </si>
  <si>
    <t>"SHRI"</t>
  </si>
  <si>
    <t>CHAKRADHAR SWAMI TRANSPORT</t>
  </si>
  <si>
    <t>Address :- "SARVDNYA" Niwas,H.No.273,Opp. Sai Puja Baug. Soc.</t>
  </si>
  <si>
    <t>Near Rupali Laundry, Dattawadi,Akurdi,Pune-411 035</t>
  </si>
  <si>
    <t>Akurdi,Pune-411 035</t>
  </si>
  <si>
    <t>Date:</t>
  </si>
  <si>
    <t>FREIGHT BILL</t>
  </si>
  <si>
    <t xml:space="preserve">                            PARTICULARS</t>
  </si>
  <si>
    <t xml:space="preserve"> V.CODE </t>
  </si>
  <si>
    <t>NO.</t>
  </si>
  <si>
    <t xml:space="preserve">Rate </t>
  </si>
  <si>
    <t>Trip</t>
  </si>
  <si>
    <t xml:space="preserve">Amount </t>
  </si>
  <si>
    <t>SGST%</t>
  </si>
  <si>
    <t>CGST%</t>
  </si>
  <si>
    <t>IGST%</t>
  </si>
  <si>
    <r>
      <t>Total Amt. In Words</t>
    </r>
    <r>
      <rPr>
        <sz val="11"/>
        <color theme="1"/>
        <rFont val="Calibri"/>
        <family val="2"/>
        <scheme val="minor"/>
      </rPr>
      <t>:- Fourty Thousand Only</t>
    </r>
  </si>
  <si>
    <t>Receiver's Signature :</t>
  </si>
  <si>
    <t>GSTIN:27ATFPD4609J1ZQ</t>
  </si>
  <si>
    <t>GSTIN</t>
  </si>
  <si>
    <t>MH14BJ6005</t>
  </si>
  <si>
    <t>MTSPL CHK</t>
  </si>
  <si>
    <t>MTSPL TAL</t>
  </si>
  <si>
    <t xml:space="preserve">TRANSPORTATION CHARGESH AS PER </t>
  </si>
  <si>
    <t>FREIGHT AMT</t>
  </si>
  <si>
    <t>Invoice No:</t>
  </si>
  <si>
    <t>PAN NO. ADUPN8512H</t>
  </si>
  <si>
    <t xml:space="preserve"> For CHAKRADHAR SWAMI TRANSPORT</t>
  </si>
  <si>
    <t>CS LR NO</t>
  </si>
  <si>
    <t>DIESEL</t>
  </si>
  <si>
    <t>TOLL</t>
  </si>
  <si>
    <t>DRIVER EXP</t>
  </si>
  <si>
    <t>OTHER EXP</t>
  </si>
  <si>
    <t>FIXED EXP</t>
  </si>
  <si>
    <t>TOTAL COST</t>
  </si>
  <si>
    <t>GROSS PL</t>
  </si>
  <si>
    <t>TYPE</t>
  </si>
  <si>
    <t>CLASS</t>
  </si>
  <si>
    <t>DISCRIPTION</t>
  </si>
  <si>
    <t>PLACE</t>
  </si>
  <si>
    <t>AMOUNT</t>
  </si>
  <si>
    <t>EXP</t>
  </si>
  <si>
    <t>MAINTENANCE</t>
  </si>
  <si>
    <t>CLUCH REPAIR</t>
  </si>
  <si>
    <t>DRV ADVANCE</t>
  </si>
  <si>
    <t>ADVANCE</t>
  </si>
  <si>
    <t>PUNCHER</t>
  </si>
  <si>
    <t>SBA METAL</t>
  </si>
  <si>
    <t>SBA/MTSPL</t>
  </si>
  <si>
    <t>MH12NX9008</t>
  </si>
  <si>
    <t>RANJEET</t>
  </si>
  <si>
    <t>MH14KA2022</t>
  </si>
  <si>
    <t>MH12LT4896</t>
  </si>
  <si>
    <t>MH12KP5927</t>
  </si>
  <si>
    <t>MH12LT5574</t>
  </si>
  <si>
    <t>MH14NE5834</t>
  </si>
  <si>
    <t>MH14HG8875</t>
  </si>
  <si>
    <t>MH14HG5589</t>
  </si>
  <si>
    <t>VIJAY</t>
  </si>
  <si>
    <t>RAHUL MANE</t>
  </si>
  <si>
    <t>ASHOK DRVER</t>
  </si>
  <si>
    <t>GOKUL</t>
  </si>
  <si>
    <t>KISAN KURKUTE</t>
  </si>
  <si>
    <t>RAJESH KUSALKAR</t>
  </si>
  <si>
    <t>MTC CHAKAN</t>
  </si>
  <si>
    <t>MTC TALAWADE</t>
  </si>
  <si>
    <t>MTC CHK</t>
  </si>
  <si>
    <t>JEJURI</t>
  </si>
  <si>
    <t>ASHOK</t>
  </si>
  <si>
    <t>RAHUL</t>
  </si>
  <si>
    <t>MTC TAL</t>
  </si>
  <si>
    <t>CST/MTC</t>
  </si>
  <si>
    <t>MTC MUM</t>
  </si>
  <si>
    <t>MUMBAI</t>
  </si>
  <si>
    <t>SBD CHK</t>
  </si>
  <si>
    <t>CST/SBD</t>
  </si>
  <si>
    <t>KFIL</t>
  </si>
  <si>
    <t>TAL</t>
  </si>
  <si>
    <t>CHK</t>
  </si>
  <si>
    <t>DETENTION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</si>
</sst>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&quot;&quot;0.000&quot; M.T.&quot;"/>
    <numFmt numFmtId="165" formatCode="_(&quot;$&quot;* #,##0.00_);_(&quot;$&quot;* \(#,##0.00\);_(&quot;$&quot;* &quot;-&quot;??_);_(@_)"/>
    <numFmt numFmtId="166" formatCode="_ * #,##0_ ;_ * \-#,##0_ ;_ * &quot;-&quot;??_ ;_ @_ "/>
    <numFmt numFmtId="167" formatCode="_ * #,##0.000_ ;_ * \-#,##0.000_ ;_ * &quot;-&quot;??_ ;_ @_ "/>
    <numFmt numFmtId="168" formatCode="0.0%"/>
    <numFmt numFmtId="169" formatCode="0.0"/>
    <numFmt numFmtId="170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theme="0" tint="-0.499984740745262"/>
      <name val="Century Gothic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color theme="0"/>
      <name val="Calibri"/>
      <scheme val="minor"/>
    </font>
    <font>
      <b/>
      <sz val="10"/>
      <color theme="0"/>
      <name val="Calibri"/>
      <scheme val="minor"/>
    </font>
    <font>
      <sz val="11"/>
      <color theme="2" tint="-0.499984740745262"/>
      <name val="Calibri"/>
      <family val="2"/>
      <scheme val="minor"/>
    </font>
    <font>
      <b/>
      <sz val="16"/>
      <name val="Arial"/>
      <family val="2"/>
    </font>
    <font>
      <sz val="14"/>
      <name val="Arial"/>
      <family val="2"/>
    </font>
    <font>
      <b/>
      <u/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2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9" fontId="3" fillId="0" borderId="0" applyFont="0" applyFill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right" vertical="center"/>
    </xf>
    <xf numFmtId="0" fontId="0" fillId="5" borderId="0" xfId="0" applyFill="1"/>
    <xf numFmtId="0" fontId="5" fillId="5" borderId="0" xfId="0" applyFont="1" applyFill="1" applyAlignment="1">
      <alignment horizontal="left" vertical="center"/>
    </xf>
    <xf numFmtId="1" fontId="7" fillId="0" borderId="1" xfId="3" applyNumberFormat="1" applyFont="1" applyBorder="1" applyAlignment="1">
      <alignment horizontal="center"/>
    </xf>
    <xf numFmtId="166" fontId="0" fillId="3" borderId="1" xfId="2" applyNumberFormat="1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3" borderId="1" xfId="0" applyNumberForma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4" fontId="0" fillId="0" borderId="0" xfId="0" applyNumberFormat="1"/>
    <xf numFmtId="0" fontId="10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167" fontId="3" fillId="0" borderId="1" xfId="2" applyNumberFormat="1" applyFont="1" applyBorder="1"/>
    <xf numFmtId="167" fontId="0" fillId="0" borderId="0" xfId="0" applyNumberFormat="1"/>
    <xf numFmtId="166" fontId="3" fillId="0" borderId="1" xfId="2" applyNumberFormat="1" applyFont="1" applyBorder="1"/>
    <xf numFmtId="166" fontId="0" fillId="0" borderId="0" xfId="2" applyNumberFormat="1" applyFont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right" vertical="center"/>
    </xf>
    <xf numFmtId="14" fontId="0" fillId="6" borderId="1" xfId="0" applyNumberFormat="1" applyFill="1" applyBorder="1" applyAlignment="1">
      <alignment vertical="center"/>
    </xf>
    <xf numFmtId="166" fontId="4" fillId="6" borderId="1" xfId="0" applyNumberFormat="1" applyFont="1" applyFill="1" applyBorder="1" applyAlignment="1">
      <alignment horizontal="right" vertical="center"/>
    </xf>
    <xf numFmtId="0" fontId="0" fillId="6" borderId="4" xfId="0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67" fontId="1" fillId="0" borderId="1" xfId="0" applyNumberFormat="1" applyFont="1" applyBorder="1"/>
    <xf numFmtId="166" fontId="1" fillId="0" borderId="1" xfId="2" applyNumberFormat="1" applyFont="1" applyBorder="1"/>
    <xf numFmtId="166" fontId="1" fillId="0" borderId="1" xfId="0" applyNumberFormat="1" applyFont="1" applyBorder="1"/>
    <xf numFmtId="166" fontId="0" fillId="6" borderId="1" xfId="0" applyNumberFormat="1" applyFill="1" applyBorder="1" applyAlignment="1">
      <alignment vertical="center"/>
    </xf>
    <xf numFmtId="0" fontId="0" fillId="0" borderId="12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0" xfId="0" applyFont="1" applyBorder="1"/>
    <xf numFmtId="0" fontId="7" fillId="0" borderId="0" xfId="0" applyFont="1"/>
    <xf numFmtId="0" fontId="0" fillId="0" borderId="11" xfId="0" applyBorder="1"/>
    <xf numFmtId="0" fontId="0" fillId="0" borderId="10" xfId="0" applyBorder="1"/>
    <xf numFmtId="15" fontId="7" fillId="0" borderId="10" xfId="0" applyNumberFormat="1" applyFont="1" applyBorder="1" applyAlignment="1">
      <alignment horizontal="left"/>
    </xf>
    <xf numFmtId="1" fontId="7" fillId="0" borderId="11" xfId="0" applyNumberFormat="1" applyFont="1" applyBorder="1" applyAlignment="1">
      <alignment horizontal="left"/>
    </xf>
    <xf numFmtId="0" fontId="13" fillId="0" borderId="12" xfId="0" applyFont="1" applyBorder="1"/>
    <xf numFmtId="0" fontId="0" fillId="0" borderId="13" xfId="0" applyBorder="1"/>
    <xf numFmtId="0" fontId="0" fillId="0" borderId="14" xfId="0" applyBorder="1"/>
    <xf numFmtId="0" fontId="7" fillId="0" borderId="15" xfId="0" applyFont="1" applyBorder="1" applyAlignment="1">
      <alignment horizontal="center"/>
    </xf>
    <xf numFmtId="0" fontId="7" fillId="0" borderId="15" xfId="0" applyFont="1" applyBorder="1"/>
    <xf numFmtId="0" fontId="7" fillId="0" borderId="18" xfId="0" applyFont="1" applyBorder="1"/>
    <xf numFmtId="0" fontId="7" fillId="0" borderId="18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0" fillId="0" borderId="20" xfId="0" applyBorder="1"/>
    <xf numFmtId="0" fontId="7" fillId="0" borderId="21" xfId="0" applyFont="1" applyBorder="1" applyAlignment="1">
      <alignment horizontal="center"/>
    </xf>
    <xf numFmtId="0" fontId="14" fillId="0" borderId="21" xfId="0" applyFont="1" applyBorder="1" applyAlignment="1">
      <alignment horizontal="left"/>
    </xf>
    <xf numFmtId="2" fontId="0" fillId="0" borderId="11" xfId="0" applyNumberFormat="1" applyBorder="1"/>
    <xf numFmtId="1" fontId="6" fillId="0" borderId="11" xfId="0" applyNumberFormat="1" applyFont="1" applyBorder="1"/>
    <xf numFmtId="43" fontId="0" fillId="0" borderId="11" xfId="2" applyFont="1" applyFill="1" applyBorder="1"/>
    <xf numFmtId="0" fontId="14" fillId="0" borderId="10" xfId="0" applyFont="1" applyBorder="1" applyAlignment="1">
      <alignment horizontal="left"/>
    </xf>
    <xf numFmtId="0" fontId="6" fillId="0" borderId="21" xfId="0" applyFont="1" applyBorder="1" applyAlignment="1">
      <alignment horizontal="center"/>
    </xf>
    <xf numFmtId="2" fontId="0" fillId="0" borderId="21" xfId="0" applyNumberFormat="1" applyBorder="1"/>
    <xf numFmtId="1" fontId="6" fillId="0" borderId="0" xfId="0" applyNumberFormat="1" applyFont="1"/>
    <xf numFmtId="43" fontId="0" fillId="0" borderId="21" xfId="2" applyFont="1" applyFill="1" applyBorder="1"/>
    <xf numFmtId="0" fontId="0" fillId="0" borderId="21" xfId="0" applyBorder="1"/>
    <xf numFmtId="0" fontId="15" fillId="0" borderId="21" xfId="0" applyFont="1" applyBorder="1" applyAlignment="1">
      <alignment horizontal="left"/>
    </xf>
    <xf numFmtId="43" fontId="0" fillId="0" borderId="11" xfId="2" applyFont="1" applyBorder="1"/>
    <xf numFmtId="0" fontId="16" fillId="0" borderId="21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1" xfId="0" applyBorder="1" applyAlignment="1">
      <alignment horizontal="left"/>
    </xf>
    <xf numFmtId="2" fontId="0" fillId="0" borderId="0" xfId="0" applyNumberFormat="1"/>
    <xf numFmtId="0" fontId="6" fillId="0" borderId="11" xfId="0" applyFont="1" applyBorder="1" applyAlignment="1">
      <alignment horizontal="left"/>
    </xf>
    <xf numFmtId="0" fontId="17" fillId="0" borderId="2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3" fontId="0" fillId="0" borderId="21" xfId="2" applyFont="1" applyBorder="1"/>
    <xf numFmtId="168" fontId="0" fillId="0" borderId="0" xfId="4" applyNumberFormat="1" applyFont="1" applyBorder="1"/>
    <xf numFmtId="169" fontId="0" fillId="0" borderId="0" xfId="0" applyNumberFormat="1"/>
    <xf numFmtId="0" fontId="0" fillId="0" borderId="19" xfId="0" applyBorder="1"/>
    <xf numFmtId="0" fontId="7" fillId="0" borderId="17" xfId="0" applyFont="1" applyBorder="1"/>
    <xf numFmtId="43" fontId="7" fillId="0" borderId="17" xfId="2" applyFont="1" applyBorder="1"/>
    <xf numFmtId="0" fontId="7" fillId="0" borderId="12" xfId="0" applyFont="1" applyBorder="1"/>
    <xf numFmtId="0" fontId="0" fillId="0" borderId="12" xfId="0" applyBorder="1"/>
    <xf numFmtId="167" fontId="1" fillId="0" borderId="1" xfId="0" applyNumberFormat="1" applyFont="1" applyBorder="1" applyAlignment="1">
      <alignment horizontal="center" vertical="center" wrapText="1"/>
    </xf>
    <xf numFmtId="166" fontId="1" fillId="0" borderId="1" xfId="2" applyNumberFormat="1" applyFont="1" applyBorder="1" applyAlignment="1">
      <alignment horizontal="center" vertical="center" wrapText="1"/>
    </xf>
    <xf numFmtId="0" fontId="18" fillId="0" borderId="21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1" fontId="6" fillId="0" borderId="21" xfId="0" applyNumberFormat="1" applyFont="1" applyBorder="1"/>
    <xf numFmtId="0" fontId="7" fillId="0" borderId="10" xfId="0" applyFont="1" applyBorder="1" applyAlignment="1">
      <alignment horizontal="left"/>
    </xf>
    <xf numFmtId="0" fontId="1" fillId="7" borderId="0" xfId="0" applyFont="1" applyFill="1"/>
    <xf numFmtId="0" fontId="19" fillId="7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6" borderId="1" xfId="0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0" fillId="8" borderId="4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170" fontId="0" fillId="0" borderId="0" xfId="0" applyNumberFormat="1"/>
    <xf numFmtId="0" fontId="0" fillId="0" borderId="0" xfId="0" applyAlignment="1">
      <alignment horizontal="left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" fillId="4" borderId="0" xfId="0" applyFont="1" applyFill="1" applyAlignment="1">
      <alignment horizontal="left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right" vertical="center" wrapText="1"/>
    </xf>
    <xf numFmtId="0" fontId="20" fillId="2" borderId="22" xfId="0" applyFont="1" applyFill="1" applyBorder="1" applyAlignment="1">
      <alignment horizontal="right" vertical="center" wrapText="1"/>
    </xf>
    <xf numFmtId="0" fontId="0" fillId="0" borderId="1" xfId="0" applyFont="1" applyBorder="1"/>
    <xf numFmtId="14" fontId="0" fillId="0" borderId="1" xfId="0" applyNumberFormat="1" applyFont="1" applyBorder="1"/>
  </cellXfs>
  <cellStyles count="5">
    <cellStyle name="Comma" xfId="2" builtinId="3"/>
    <cellStyle name="Currency 2" xfId="1" xr:uid="{00000000-0005-0000-0000-000001000000}"/>
    <cellStyle name="Normal" xfId="0" builtinId="0"/>
    <cellStyle name="Normal 2" xfId="3" xr:uid="{00000000-0005-0000-0000-000003000000}"/>
    <cellStyle name="Percent" xfId="4" builtinId="5"/>
  </cellStyles>
  <dxfs count="42">
    <dxf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* #,##0_ ;_ * \-#,##0_ ;_ * &quot;-&quot;??_ ;_ @_ 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* #,##0_ ;_ * \-#,##0_ ;_ * &quot;-&quot;??_ ;_ @_ 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* #,##0_ ;_ * \-#,##0_ ;_ * &quot;-&quot;??_ ;_ @_ 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theme="8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&quot;&quot;0.000&quot; M.T.&quot;"/>
      <fill>
        <patternFill patternType="solid">
          <fgColor indexed="64"/>
          <bgColor theme="8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* #,##0_ ;_ * \-#,##0_ ;_ * &quot;-&quot;??_ ;_ @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font>
        <color theme="0"/>
      </font>
    </dxf>
    <dxf>
      <border>
        <top style="thin">
          <color indexed="64"/>
        </top>
      </border>
    </dxf>
    <dxf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0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PARTY CREATION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0</xdr:rowOff>
    </xdr:from>
    <xdr:to>
      <xdr:col>6</xdr:col>
      <xdr:colOff>1143000</xdr:colOff>
      <xdr:row>0</xdr:row>
      <xdr:rowOff>266700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38675" y="0"/>
          <a:ext cx="1085850" cy="266700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Party</a:t>
          </a:r>
          <a:r>
            <a:rPr lang="en-IN" sz="1100" baseline="0"/>
            <a:t> Creation</a:t>
          </a:r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B85" totalsRowCount="1" headerRowDxfId="41" dataDxfId="40" totalsRowDxfId="38" tableBorderDxfId="39" totalsRowBorderDxfId="37">
  <tableColumns count="28">
    <tableColumn id="1" xr3:uid="{00000000-0010-0000-0000-000001000000}" name="BILL NO" dataDxfId="35" totalsRowDxfId="27"/>
    <tableColumn id="2" xr3:uid="{00000000-0010-0000-0000-000002000000}" name="BILL DATE" totalsRowDxfId="26"/>
    <tableColumn id="3" xr3:uid="{00000000-0010-0000-0000-000003000000}" name="SR NO" totalsRowDxfId="25">
      <calculatedColumnFormula>SUBTOTAL(3,D$3:D4)</calculatedColumnFormula>
    </tableColumn>
    <tableColumn id="4" xr3:uid="{00000000-0010-0000-0000-000004000000}" name="DATE" totalsRowDxfId="24"/>
    <tableColumn id="5" xr3:uid="{00000000-0010-0000-0000-000005000000}" name="VH NO" totalsRowDxfId="23"/>
    <tableColumn id="6" xr3:uid="{00000000-0010-0000-0000-000006000000}" name="DRIVER" totalsRowDxfId="22"/>
    <tableColumn id="7" xr3:uid="{00000000-0010-0000-0000-000007000000}" name="BILLING PARTY" totalsRowDxfId="21"/>
    <tableColumn id="8" xr3:uid="{00000000-0010-0000-0000-000008000000}" name="ADDRESS" totalsRowDxfId="20"/>
    <tableColumn id="9" xr3:uid="{00000000-0010-0000-0000-000009000000}" name="FROM PARTY NAME" totalsRowDxfId="19"/>
    <tableColumn id="10" xr3:uid="{00000000-0010-0000-0000-00000A000000}" name="FROM PLACE" totalsRowDxfId="18"/>
    <tableColumn id="11" xr3:uid="{00000000-0010-0000-0000-00000B000000}" name="TO PARTY NAME" totalsRowDxfId="17"/>
    <tableColumn id="12" xr3:uid="{00000000-0010-0000-0000-00000C000000}" name="TO PLACE" totalsRowDxfId="16"/>
    <tableColumn id="13" xr3:uid="{00000000-0010-0000-0000-00000D000000}" name="DISTANCE (IN KM)" totalsRowDxfId="15"/>
    <tableColumn id="14" xr3:uid="{00000000-0010-0000-0000-00000E000000}" name="CS LR NO" totalsRowDxfId="14"/>
    <tableColumn id="15" xr3:uid="{00000000-0010-0000-0000-00000F000000}" name="PARTY BILL NO" totalsRowDxfId="13"/>
    <tableColumn id="16" xr3:uid="{00000000-0010-0000-0000-000010000000}" name="WEIGHT" totalsRowFunction="sum" totalsRowDxfId="12"/>
    <tableColumn id="17" xr3:uid="{00000000-0010-0000-0000-000011000000}" name="BASIC FREIGHT" totalsRowDxfId="11"/>
    <tableColumn id="18" xr3:uid="{00000000-0010-0000-0000-000012000000}" name="ACTUAL FREIGHT" totalsRowFunction="sum" totalsRowDxfId="10"/>
    <tableColumn id="19" xr3:uid="{00000000-0010-0000-0000-000013000000}" name="DETAINTION" totalsRowFunction="sum" totalsRowDxfId="9"/>
    <tableColumn id="20" xr3:uid="{00000000-0010-0000-0000-000014000000}" name="TOTAL AMOUNT" totalsRowFunction="custom" totalsRowDxfId="8">
      <totalsRowFormula>SUM(Table1[TOTAL AMOUNT])</totalsRowFormula>
    </tableColumn>
    <tableColumn id="21" xr3:uid="{00000000-0010-0000-0000-000015000000}" name="DETAINTION DETAILS" totalsRowDxfId="7"/>
    <tableColumn id="22" xr3:uid="{831FD2BA-5426-4BBB-8E4D-3A36015FEFB1}" name="DIESEL" dataDxfId="34" totalsRowDxfId="6"/>
    <tableColumn id="23" xr3:uid="{E2F06094-ADF5-4A55-BD57-95F35F421B79}" name="TOLL" dataDxfId="33" totalsRowDxfId="5"/>
    <tableColumn id="24" xr3:uid="{D8901068-4BDB-41B3-B217-00C03C1015EC}" name="DRIVER EXP" dataDxfId="32" totalsRowDxfId="4"/>
    <tableColumn id="26" xr3:uid="{C028974C-332E-47B1-A45B-AC31D1AC6436}" name="OTHER EXP" dataDxfId="31" totalsRowDxfId="3"/>
    <tableColumn id="25" xr3:uid="{3250326D-DF95-411D-8A42-99E5B32759CB}" name="FIXED EXP" dataDxfId="30" totalsRowDxfId="2"/>
    <tableColumn id="27" xr3:uid="{890C9F22-9A5B-4630-ABDE-A1040E3701ED}" name="TOTAL COST" dataDxfId="29" totalsRowDxfId="1">
      <calculatedColumnFormula>+SUM(Table1[[#This Row],[DIESEL]:[FIXED EXP]])</calculatedColumnFormula>
    </tableColumn>
    <tableColumn id="28" xr3:uid="{C8BD8AB8-2C2E-46C4-83FE-CC092581A356}" name="GROSS PL" dataDxfId="28" totalsRowDxfId="0">
      <calculatedColumnFormula>+Table1[[#This Row],[TOTAL AMOUNT]]-Table1[[#This Row],[TOTAL COST]]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3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8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6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3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1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7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2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7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5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6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0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6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1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4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5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5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3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9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4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9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14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2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Relationship Id="rId27" Type="http://schemas.openxmlformats.org/officeDocument/2006/relationships/hyperlink" Target="https://www.smartsheet.com/try-it?trp=8552&amp;lx=FloxIDWkDdp3EeuK7sFJxg&amp;utm_source=integrated+content&amp;utm_campaign=/top-excel-accounting-templates&amp;utm_medium=bill+templat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"/>
  <sheetViews>
    <sheetView tabSelected="1" workbookViewId="0">
      <pane xSplit="5" ySplit="2" topLeftCell="J3" activePane="bottomRight" state="frozen"/>
      <selection pane="topRight" activeCell="F1" sqref="F1"/>
      <selection pane="bottomLeft" activeCell="A3" sqref="A3"/>
      <selection pane="bottomRight" activeCell="E9" sqref="E9"/>
    </sheetView>
  </sheetViews>
  <sheetFormatPr defaultColWidth="3.6640625" defaultRowHeight="14.4" x14ac:dyDescent="0.3"/>
  <cols>
    <col min="1" max="1" width="6.88671875" style="1" customWidth="1"/>
    <col min="2" max="2" width="11" style="6" customWidth="1"/>
    <col min="3" max="3" width="5.88671875" style="1" bestFit="1" customWidth="1"/>
    <col min="4" max="4" width="11" style="6" customWidth="1"/>
    <col min="5" max="5" width="14.5546875" style="6" bestFit="1" customWidth="1"/>
    <col min="6" max="6" width="11" style="6" customWidth="1"/>
    <col min="7" max="7" width="13.5546875" style="6" bestFit="1" customWidth="1"/>
    <col min="8" max="8" width="10.21875" style="6" bestFit="1" customWidth="1"/>
    <col min="9" max="9" width="22.44140625" style="6" bestFit="1" customWidth="1"/>
    <col min="10" max="10" width="9" style="6" customWidth="1"/>
    <col min="11" max="11" width="13.6640625" style="6" bestFit="1" customWidth="1"/>
    <col min="12" max="14" width="12" style="6" customWidth="1"/>
    <col min="15" max="15" width="12" style="1" customWidth="1"/>
    <col min="16" max="18" width="12" style="6" customWidth="1"/>
    <col min="19" max="21" width="12" style="6" bestFit="1" customWidth="1"/>
    <col min="22" max="22" width="7.33203125" style="6" customWidth="1"/>
    <col min="23" max="23" width="7.6640625" style="6" customWidth="1"/>
    <col min="24" max="25" width="8.21875" style="6" customWidth="1"/>
    <col min="26" max="26" width="8.5546875" style="6" customWidth="1"/>
    <col min="27" max="27" width="7.21875" style="6" customWidth="1"/>
    <col min="28" max="29" width="7.44140625" style="6" customWidth="1"/>
    <col min="30" max="16384" width="3.6640625" style="6"/>
  </cols>
  <sheetData>
    <row r="1" spans="1:28" ht="23.25" customHeight="1" x14ac:dyDescent="0.3"/>
    <row r="2" spans="1:28" customFormat="1" ht="30" customHeight="1" x14ac:dyDescent="0.3">
      <c r="A2" s="19" t="s">
        <v>17</v>
      </c>
      <c r="B2" s="20" t="s">
        <v>20</v>
      </c>
      <c r="C2" s="21" t="s">
        <v>9</v>
      </c>
      <c r="D2" s="20" t="s">
        <v>0</v>
      </c>
      <c r="E2" s="20" t="s">
        <v>1</v>
      </c>
      <c r="F2" s="20" t="s">
        <v>11</v>
      </c>
      <c r="G2" s="20" t="s">
        <v>5</v>
      </c>
      <c r="H2" s="20" t="s">
        <v>21</v>
      </c>
      <c r="I2" s="22" t="s">
        <v>28</v>
      </c>
      <c r="J2" s="23" t="s">
        <v>29</v>
      </c>
      <c r="K2" s="22" t="s">
        <v>30</v>
      </c>
      <c r="L2" s="23" t="s">
        <v>31</v>
      </c>
      <c r="M2" s="20" t="s">
        <v>8</v>
      </c>
      <c r="N2" s="18" t="s">
        <v>65</v>
      </c>
      <c r="O2" s="20" t="s">
        <v>2</v>
      </c>
      <c r="P2" s="20" t="s">
        <v>3</v>
      </c>
      <c r="Q2" s="20" t="s">
        <v>15</v>
      </c>
      <c r="R2" s="20" t="s">
        <v>16</v>
      </c>
      <c r="S2" s="20" t="s">
        <v>4</v>
      </c>
      <c r="T2" s="20" t="s">
        <v>26</v>
      </c>
      <c r="U2" s="20" t="s">
        <v>27</v>
      </c>
      <c r="V2" s="5" t="s">
        <v>66</v>
      </c>
      <c r="W2" s="5" t="s">
        <v>67</v>
      </c>
      <c r="X2" s="5" t="s">
        <v>68</v>
      </c>
      <c r="Y2" s="5" t="s">
        <v>69</v>
      </c>
      <c r="Z2" s="5" t="s">
        <v>70</v>
      </c>
      <c r="AA2" s="5" t="s">
        <v>71</v>
      </c>
      <c r="AB2" s="5" t="s">
        <v>72</v>
      </c>
    </row>
    <row r="3" spans="1:28" s="2" customFormat="1" x14ac:dyDescent="0.3">
      <c r="A3" s="114">
        <v>1</v>
      </c>
      <c r="B3" s="115">
        <v>46113</v>
      </c>
      <c r="C3" s="3">
        <f>SUBTOTAL(3,D$3:D3)</f>
        <v>1</v>
      </c>
      <c r="D3" s="24">
        <v>46113</v>
      </c>
      <c r="E3" t="s">
        <v>86</v>
      </c>
      <c r="F3" t="s">
        <v>95</v>
      </c>
      <c r="G3" t="s">
        <v>111</v>
      </c>
      <c r="H3" s="8" t="str">
        <f>+VLOOKUP(Table1[[#This Row],[BILLING PARTY]],'PARTY CREATION'!$B:$I,2,)</f>
        <v>CHAKAN</v>
      </c>
      <c r="I3" t="s">
        <v>101</v>
      </c>
      <c r="J3" s="8" t="s">
        <v>115</v>
      </c>
      <c r="K3" s="8" t="s">
        <v>113</v>
      </c>
      <c r="L3" s="8" t="s">
        <v>104</v>
      </c>
      <c r="M3" s="8">
        <v>200</v>
      </c>
      <c r="N3" s="8">
        <v>100</v>
      </c>
      <c r="O3" s="118">
        <v>10</v>
      </c>
      <c r="P3" s="117">
        <v>25</v>
      </c>
      <c r="Q3" s="13">
        <v>6500</v>
      </c>
      <c r="R3" s="13">
        <f>+ROUND(IF(P3&gt;10,Q3/10*P3,Q3),0)</f>
        <v>16250</v>
      </c>
      <c r="S3" s="8">
        <v>4000</v>
      </c>
      <c r="T3" s="17">
        <f>+R3+S3</f>
        <v>20250</v>
      </c>
      <c r="U3" s="17"/>
      <c r="V3" s="107">
        <v>7000</v>
      </c>
      <c r="W3" s="107">
        <v>1100</v>
      </c>
      <c r="X3" s="107">
        <v>700</v>
      </c>
      <c r="Y3" s="107">
        <v>500</v>
      </c>
      <c r="Z3" s="107">
        <v>200</v>
      </c>
      <c r="AA3" s="107">
        <f>+SUM(Table1[[#This Row],[DIESEL]:[FIXED EXP]])</f>
        <v>9500</v>
      </c>
      <c r="AB3" s="108">
        <f>+Table1[[#This Row],[TOTAL AMOUNT]]-Table1[[#This Row],[TOTAL COST]]</f>
        <v>10750</v>
      </c>
    </row>
    <row r="4" spans="1:28" x14ac:dyDescent="0.3">
      <c r="A4" s="114">
        <v>1</v>
      </c>
      <c r="B4" s="115">
        <v>46114</v>
      </c>
      <c r="C4" s="3">
        <f>SUBTOTAL(3,D$3:D4)</f>
        <v>2</v>
      </c>
      <c r="D4" s="24">
        <v>46114</v>
      </c>
      <c r="E4" t="s">
        <v>88</v>
      </c>
      <c r="F4" t="s">
        <v>95</v>
      </c>
      <c r="G4" t="s">
        <v>59</v>
      </c>
      <c r="H4" s="8" t="s">
        <v>10</v>
      </c>
      <c r="I4" t="s">
        <v>102</v>
      </c>
      <c r="J4" s="8" t="s">
        <v>114</v>
      </c>
      <c r="K4" s="8" t="s">
        <v>113</v>
      </c>
      <c r="L4" s="8" t="s">
        <v>104</v>
      </c>
      <c r="M4" s="8">
        <v>200</v>
      </c>
      <c r="N4" s="8">
        <v>101</v>
      </c>
      <c r="O4" s="118">
        <v>20</v>
      </c>
      <c r="P4" s="117">
        <v>25</v>
      </c>
      <c r="Q4" s="13">
        <v>6500</v>
      </c>
      <c r="R4" s="13">
        <f t="shared" ref="R4:R60" si="0">+ROUND(IF(P4&gt;10,Q4/10*P4,Q4),0)</f>
        <v>16250</v>
      </c>
      <c r="S4" s="8">
        <v>2000</v>
      </c>
      <c r="T4" s="17">
        <f t="shared" ref="T4:T60" si="1">+R4+S4</f>
        <v>18250</v>
      </c>
      <c r="U4" s="17"/>
      <c r="V4" s="109"/>
      <c r="W4" s="109"/>
      <c r="X4" s="109"/>
      <c r="Y4" s="109"/>
      <c r="Z4" s="109"/>
      <c r="AA4" s="109">
        <f>+SUM(Table1[[#This Row],[DIESEL]:[FIXED EXP]])</f>
        <v>0</v>
      </c>
      <c r="AB4" s="110">
        <f>+Table1[[#This Row],[TOTAL AMOUNT]]-Table1[[#This Row],[TOTAL COST]]</f>
        <v>18250</v>
      </c>
    </row>
    <row r="5" spans="1:28" x14ac:dyDescent="0.3">
      <c r="A5" s="114">
        <v>1</v>
      </c>
      <c r="B5" s="115">
        <v>46115</v>
      </c>
      <c r="C5" s="3">
        <f>SUBTOTAL(3,D$3:D5)</f>
        <v>3</v>
      </c>
      <c r="D5" s="24">
        <v>46115</v>
      </c>
      <c r="E5" t="s">
        <v>89</v>
      </c>
      <c r="F5" t="s">
        <v>96</v>
      </c>
      <c r="G5" t="s">
        <v>59</v>
      </c>
      <c r="H5" s="8" t="s">
        <v>10</v>
      </c>
      <c r="I5" t="s">
        <v>102</v>
      </c>
      <c r="J5" s="8" t="s">
        <v>114</v>
      </c>
      <c r="K5" s="8" t="s">
        <v>113</v>
      </c>
      <c r="L5" s="8" t="s">
        <v>104</v>
      </c>
      <c r="M5" s="8">
        <v>200</v>
      </c>
      <c r="N5" s="8">
        <v>102</v>
      </c>
      <c r="O5" s="118">
        <v>30</v>
      </c>
      <c r="P5" s="117">
        <v>25</v>
      </c>
      <c r="Q5" s="13">
        <v>6500</v>
      </c>
      <c r="R5" s="13">
        <f t="shared" si="0"/>
        <v>16250</v>
      </c>
      <c r="S5" s="8">
        <v>1000</v>
      </c>
      <c r="T5" s="17">
        <f t="shared" si="1"/>
        <v>17250</v>
      </c>
      <c r="U5" s="17"/>
      <c r="V5" s="109"/>
      <c r="W5" s="109"/>
      <c r="X5" s="109"/>
      <c r="Y5" s="109"/>
      <c r="Z5" s="109"/>
      <c r="AA5" s="109">
        <f>+SUM(Table1[[#This Row],[DIESEL]:[FIXED EXP]])</f>
        <v>0</v>
      </c>
      <c r="AB5" s="110">
        <f>+Table1[[#This Row],[TOTAL AMOUNT]]-Table1[[#This Row],[TOTAL COST]]</f>
        <v>17250</v>
      </c>
    </row>
    <row r="6" spans="1:28" x14ac:dyDescent="0.3">
      <c r="A6" s="114">
        <v>1</v>
      </c>
      <c r="B6" s="115">
        <v>46116</v>
      </c>
      <c r="C6" s="3">
        <f>SUBTOTAL(3,D$3:D6)</f>
        <v>4</v>
      </c>
      <c r="D6" s="24">
        <v>46116</v>
      </c>
      <c r="E6" t="s">
        <v>90</v>
      </c>
      <c r="F6" t="s">
        <v>97</v>
      </c>
      <c r="G6" t="s">
        <v>59</v>
      </c>
      <c r="H6" s="8" t="s">
        <v>10</v>
      </c>
      <c r="I6" t="s">
        <v>102</v>
      </c>
      <c r="J6" s="8" t="s">
        <v>114</v>
      </c>
      <c r="K6" s="8" t="s">
        <v>113</v>
      </c>
      <c r="L6" s="8" t="s">
        <v>104</v>
      </c>
      <c r="M6" s="8">
        <v>200</v>
      </c>
      <c r="N6" s="8">
        <v>103</v>
      </c>
      <c r="O6" s="118">
        <v>40</v>
      </c>
      <c r="P6" s="117">
        <v>25</v>
      </c>
      <c r="Q6" s="13">
        <v>7000</v>
      </c>
      <c r="R6" s="13">
        <f t="shared" si="0"/>
        <v>17500</v>
      </c>
      <c r="S6" s="8"/>
      <c r="T6" s="17">
        <f t="shared" si="1"/>
        <v>17500</v>
      </c>
      <c r="U6" s="17"/>
      <c r="V6" s="109"/>
      <c r="W6" s="109"/>
      <c r="X6" s="109"/>
      <c r="Y6" s="109"/>
      <c r="Z6" s="109"/>
      <c r="AA6" s="109">
        <f>+SUM(Table1[[#This Row],[DIESEL]:[FIXED EXP]])</f>
        <v>0</v>
      </c>
      <c r="AB6" s="110">
        <f>+Table1[[#This Row],[TOTAL AMOUNT]]-Table1[[#This Row],[TOTAL COST]]</f>
        <v>17500</v>
      </c>
    </row>
    <row r="7" spans="1:28" x14ac:dyDescent="0.3">
      <c r="A7" s="114">
        <v>1</v>
      </c>
      <c r="B7" s="115">
        <v>46117</v>
      </c>
      <c r="C7" s="3">
        <f>SUBTOTAL(3,D$3:D7)</f>
        <v>5</v>
      </c>
      <c r="D7" s="24">
        <v>46117</v>
      </c>
      <c r="E7" t="s">
        <v>91</v>
      </c>
      <c r="F7" t="s">
        <v>98</v>
      </c>
      <c r="G7" t="s">
        <v>59</v>
      </c>
      <c r="H7" s="8" t="s">
        <v>10</v>
      </c>
      <c r="I7" t="s">
        <v>102</v>
      </c>
      <c r="J7" s="8" t="s">
        <v>115</v>
      </c>
      <c r="K7" s="8" t="s">
        <v>113</v>
      </c>
      <c r="L7" s="8" t="s">
        <v>104</v>
      </c>
      <c r="M7" s="8">
        <v>200</v>
      </c>
      <c r="N7" s="8">
        <v>104</v>
      </c>
      <c r="O7" s="118">
        <v>50</v>
      </c>
      <c r="P7" s="117">
        <v>25</v>
      </c>
      <c r="Q7" s="13">
        <v>7000</v>
      </c>
      <c r="R7" s="13">
        <f t="shared" si="0"/>
        <v>17500</v>
      </c>
      <c r="S7" s="8"/>
      <c r="T7" s="17">
        <f t="shared" si="1"/>
        <v>17500</v>
      </c>
      <c r="U7" s="17"/>
      <c r="V7" s="109"/>
      <c r="W7" s="109"/>
      <c r="X7" s="109"/>
      <c r="Y7" s="109"/>
      <c r="Z7" s="109"/>
      <c r="AA7" s="109">
        <f>+SUM(Table1[[#This Row],[DIESEL]:[FIXED EXP]])</f>
        <v>0</v>
      </c>
      <c r="AB7" s="110">
        <f>+Table1[[#This Row],[TOTAL AMOUNT]]-Table1[[#This Row],[TOTAL COST]]</f>
        <v>17500</v>
      </c>
    </row>
    <row r="8" spans="1:28" x14ac:dyDescent="0.3">
      <c r="A8" s="114">
        <v>2</v>
      </c>
      <c r="B8" s="115">
        <v>46118</v>
      </c>
      <c r="C8" s="3">
        <f>SUBTOTAL(3,D$3:D8)</f>
        <v>6</v>
      </c>
      <c r="D8" s="24">
        <v>46118</v>
      </c>
      <c r="E8" t="s">
        <v>92</v>
      </c>
      <c r="F8" t="s">
        <v>99</v>
      </c>
      <c r="G8" t="s">
        <v>59</v>
      </c>
      <c r="H8" s="8" t="s">
        <v>10</v>
      </c>
      <c r="I8" t="s">
        <v>102</v>
      </c>
      <c r="J8" s="8" t="s">
        <v>115</v>
      </c>
      <c r="K8" s="8" t="s">
        <v>103</v>
      </c>
      <c r="L8" s="8"/>
      <c r="M8" s="8"/>
      <c r="N8" s="8"/>
      <c r="O8" s="118">
        <v>60</v>
      </c>
      <c r="P8" s="117">
        <v>25</v>
      </c>
      <c r="Q8" s="13">
        <v>6500</v>
      </c>
      <c r="R8" s="13">
        <f t="shared" si="0"/>
        <v>16250</v>
      </c>
      <c r="S8" s="8"/>
      <c r="T8" s="17">
        <f t="shared" si="1"/>
        <v>16250</v>
      </c>
      <c r="U8" s="17"/>
      <c r="V8" s="109"/>
      <c r="W8" s="109"/>
      <c r="X8" s="109"/>
      <c r="Y8" s="109"/>
      <c r="Z8" s="109"/>
      <c r="AA8" s="109">
        <f>+SUM(Table1[[#This Row],[DIESEL]:[FIXED EXP]])</f>
        <v>0</v>
      </c>
      <c r="AB8" s="110">
        <f>+Table1[[#This Row],[TOTAL AMOUNT]]-Table1[[#This Row],[TOTAL COST]]</f>
        <v>16250</v>
      </c>
    </row>
    <row r="9" spans="1:28" x14ac:dyDescent="0.3">
      <c r="A9" s="114">
        <v>2</v>
      </c>
      <c r="B9" s="115">
        <v>46119</v>
      </c>
      <c r="C9" s="3">
        <f>SUBTOTAL(3,D$3:D9)</f>
        <v>7</v>
      </c>
      <c r="D9" s="24">
        <v>46119</v>
      </c>
      <c r="E9" t="s">
        <v>57</v>
      </c>
      <c r="F9" t="s">
        <v>87</v>
      </c>
      <c r="G9" t="s">
        <v>58</v>
      </c>
      <c r="H9" s="8" t="s">
        <v>10</v>
      </c>
      <c r="I9" t="s">
        <v>101</v>
      </c>
      <c r="J9" s="8"/>
      <c r="K9" s="8" t="s">
        <v>103</v>
      </c>
      <c r="L9" s="8"/>
      <c r="M9" s="8"/>
      <c r="N9" s="8"/>
      <c r="O9" s="118">
        <v>70</v>
      </c>
      <c r="P9" s="117">
        <v>25</v>
      </c>
      <c r="Q9" s="13">
        <v>6500</v>
      </c>
      <c r="R9" s="13">
        <f t="shared" si="0"/>
        <v>16250</v>
      </c>
      <c r="S9" s="8"/>
      <c r="T9" s="17">
        <f t="shared" si="1"/>
        <v>16250</v>
      </c>
      <c r="U9" s="17"/>
      <c r="V9" s="109"/>
      <c r="W9" s="109"/>
      <c r="X9" s="109"/>
      <c r="Y9" s="109"/>
      <c r="Z9" s="109"/>
      <c r="AA9" s="109">
        <f>+SUM(Table1[[#This Row],[DIESEL]:[FIXED EXP]])</f>
        <v>0</v>
      </c>
      <c r="AB9" s="110">
        <f>+Table1[[#This Row],[TOTAL AMOUNT]]-Table1[[#This Row],[TOTAL COST]]</f>
        <v>16250</v>
      </c>
    </row>
    <row r="10" spans="1:28" x14ac:dyDescent="0.3">
      <c r="A10" s="114">
        <v>2</v>
      </c>
      <c r="B10" s="115">
        <v>46120</v>
      </c>
      <c r="C10" s="3">
        <f>SUBTOTAL(3,D$3:D10)</f>
        <v>8</v>
      </c>
      <c r="D10" s="24">
        <v>46120</v>
      </c>
      <c r="E10" t="s">
        <v>93</v>
      </c>
      <c r="F10" t="s">
        <v>100</v>
      </c>
      <c r="G10"/>
      <c r="H10" s="8" t="s">
        <v>10</v>
      </c>
      <c r="I10" t="s">
        <v>102</v>
      </c>
      <c r="J10" s="8"/>
      <c r="K10" s="8" t="s">
        <v>103</v>
      </c>
      <c r="L10" s="8"/>
      <c r="M10" s="8"/>
      <c r="N10" s="8"/>
      <c r="O10" s="118">
        <v>80</v>
      </c>
      <c r="P10" s="117">
        <v>25</v>
      </c>
      <c r="Q10" s="13">
        <v>6500</v>
      </c>
      <c r="R10" s="13">
        <f t="shared" si="0"/>
        <v>16250</v>
      </c>
      <c r="S10" s="8"/>
      <c r="T10" s="17">
        <f t="shared" si="1"/>
        <v>16250</v>
      </c>
      <c r="U10" s="17"/>
      <c r="V10" s="109"/>
      <c r="W10" s="109"/>
      <c r="X10" s="109"/>
      <c r="Y10" s="109"/>
      <c r="Z10" s="109"/>
      <c r="AA10" s="109">
        <f>+SUM(Table1[[#This Row],[DIESEL]:[FIXED EXP]])</f>
        <v>0</v>
      </c>
      <c r="AB10" s="110">
        <f>+Table1[[#This Row],[TOTAL AMOUNT]]-Table1[[#This Row],[TOTAL COST]]</f>
        <v>16250</v>
      </c>
    </row>
    <row r="11" spans="1:28" x14ac:dyDescent="0.3">
      <c r="A11" s="114">
        <v>2</v>
      </c>
      <c r="B11" s="115">
        <v>46121</v>
      </c>
      <c r="C11" s="3">
        <f>SUBTOTAL(3,D$3:D11)</f>
        <v>9</v>
      </c>
      <c r="D11" s="24">
        <v>46121</v>
      </c>
      <c r="E11" t="s">
        <v>94</v>
      </c>
      <c r="F11" t="s">
        <v>100</v>
      </c>
      <c r="G11"/>
      <c r="H11" s="8" t="s">
        <v>10</v>
      </c>
      <c r="I11" t="s">
        <v>102</v>
      </c>
      <c r="J11" s="8"/>
      <c r="K11" s="8" t="s">
        <v>103</v>
      </c>
      <c r="L11" s="8"/>
      <c r="M11" s="8"/>
      <c r="N11" s="8"/>
      <c r="O11" s="118">
        <v>90</v>
      </c>
      <c r="P11" s="117">
        <v>25</v>
      </c>
      <c r="Q11" s="13">
        <v>6500</v>
      </c>
      <c r="R11" s="13">
        <f t="shared" si="0"/>
        <v>16250</v>
      </c>
      <c r="S11" s="8"/>
      <c r="T11" s="17">
        <f t="shared" si="1"/>
        <v>16250</v>
      </c>
      <c r="U11" s="17"/>
      <c r="V11" s="109"/>
      <c r="W11" s="109"/>
      <c r="X11" s="109"/>
      <c r="Y11" s="109"/>
      <c r="Z11" s="109"/>
      <c r="AA11" s="109">
        <f>+SUM(Table1[[#This Row],[DIESEL]:[FIXED EXP]])</f>
        <v>0</v>
      </c>
      <c r="AB11" s="110">
        <f>+Table1[[#This Row],[TOTAL AMOUNT]]-Table1[[#This Row],[TOTAL COST]]</f>
        <v>16250</v>
      </c>
    </row>
    <row r="12" spans="1:28" x14ac:dyDescent="0.3">
      <c r="A12" s="114">
        <v>2</v>
      </c>
      <c r="B12" s="115">
        <v>46122</v>
      </c>
      <c r="C12" s="3">
        <f>SUBTOTAL(3,D$3:D12)</f>
        <v>10</v>
      </c>
      <c r="D12" s="24">
        <v>46122</v>
      </c>
      <c r="E12"/>
      <c r="F12"/>
      <c r="G12"/>
      <c r="H12" s="8" t="s">
        <v>10</v>
      </c>
      <c r="I12" t="s">
        <v>102</v>
      </c>
      <c r="J12" s="8"/>
      <c r="K12" s="8" t="s">
        <v>103</v>
      </c>
      <c r="L12" s="8"/>
      <c r="M12" s="8"/>
      <c r="N12" s="8"/>
      <c r="O12" s="118">
        <v>100</v>
      </c>
      <c r="P12" s="117">
        <v>25</v>
      </c>
      <c r="Q12" s="13">
        <v>2400</v>
      </c>
      <c r="R12" s="13">
        <f t="shared" si="0"/>
        <v>6000</v>
      </c>
      <c r="S12" s="8"/>
      <c r="T12" s="17">
        <f t="shared" si="1"/>
        <v>6000</v>
      </c>
      <c r="U12" s="17"/>
      <c r="V12" s="109"/>
      <c r="W12" s="109"/>
      <c r="X12" s="109"/>
      <c r="Y12" s="109"/>
      <c r="Z12" s="109"/>
      <c r="AA12" s="109">
        <f>+SUM(Table1[[#This Row],[DIESEL]:[FIXED EXP]])</f>
        <v>0</v>
      </c>
      <c r="AB12" s="110">
        <f>+Table1[[#This Row],[TOTAL AMOUNT]]-Table1[[#This Row],[TOTAL COST]]</f>
        <v>6000</v>
      </c>
    </row>
    <row r="13" spans="1:28" x14ac:dyDescent="0.3">
      <c r="A13" s="114">
        <v>11</v>
      </c>
      <c r="B13" s="115">
        <v>46123</v>
      </c>
      <c r="C13" s="3">
        <f>SUBTOTAL(3,D$3:D13)</f>
        <v>11</v>
      </c>
      <c r="D13" s="24">
        <v>46123</v>
      </c>
      <c r="E13"/>
      <c r="F13"/>
      <c r="G13"/>
      <c r="H13" s="8" t="s">
        <v>10</v>
      </c>
      <c r="I13" t="s">
        <v>102</v>
      </c>
      <c r="J13" s="8"/>
      <c r="K13" s="8"/>
      <c r="L13" s="8"/>
      <c r="M13" s="8"/>
      <c r="N13" s="8"/>
      <c r="O13" s="118">
        <v>110</v>
      </c>
      <c r="P13" s="117">
        <v>5</v>
      </c>
      <c r="Q13" s="13">
        <v>2400</v>
      </c>
      <c r="R13" s="13">
        <f t="shared" si="0"/>
        <v>2400</v>
      </c>
      <c r="S13" s="8"/>
      <c r="T13" s="17">
        <f t="shared" si="1"/>
        <v>2400</v>
      </c>
      <c r="U13" s="17"/>
      <c r="V13" s="109"/>
      <c r="W13" s="109"/>
      <c r="X13" s="109"/>
      <c r="Y13" s="109"/>
      <c r="Z13" s="109"/>
      <c r="AA13" s="109">
        <f>+SUM(Table1[[#This Row],[DIESEL]:[FIXED EXP]])</f>
        <v>0</v>
      </c>
      <c r="AB13" s="110">
        <f>+Table1[[#This Row],[TOTAL AMOUNT]]-Table1[[#This Row],[TOTAL COST]]</f>
        <v>2400</v>
      </c>
    </row>
    <row r="14" spans="1:28" x14ac:dyDescent="0.3">
      <c r="A14" s="114">
        <v>12</v>
      </c>
      <c r="B14" s="115">
        <v>46124</v>
      </c>
      <c r="C14" s="3">
        <f>SUBTOTAL(3,D$3:D14)</f>
        <v>12</v>
      </c>
      <c r="D14" s="24">
        <v>46124</v>
      </c>
      <c r="E14"/>
      <c r="F14"/>
      <c r="G14"/>
      <c r="H14" s="8" t="s">
        <v>10</v>
      </c>
      <c r="I14" t="s">
        <v>102</v>
      </c>
      <c r="J14" s="8"/>
      <c r="K14" s="8"/>
      <c r="L14" s="8"/>
      <c r="M14" s="8"/>
      <c r="N14" s="8"/>
      <c r="O14" s="118">
        <v>120</v>
      </c>
      <c r="P14" s="117">
        <v>4.28</v>
      </c>
      <c r="Q14" s="13">
        <v>2400</v>
      </c>
      <c r="R14" s="13">
        <f t="shared" si="0"/>
        <v>2400</v>
      </c>
      <c r="S14" s="8"/>
      <c r="T14" s="17">
        <f t="shared" si="1"/>
        <v>2400</v>
      </c>
      <c r="U14" s="17"/>
      <c r="V14" s="109"/>
      <c r="W14" s="109"/>
      <c r="X14" s="109"/>
      <c r="Y14" s="109"/>
      <c r="Z14" s="109"/>
      <c r="AA14" s="109">
        <f>+SUM(Table1[[#This Row],[DIESEL]:[FIXED EXP]])</f>
        <v>0</v>
      </c>
      <c r="AB14" s="110">
        <f>+Table1[[#This Row],[TOTAL AMOUNT]]-Table1[[#This Row],[TOTAL COST]]</f>
        <v>2400</v>
      </c>
    </row>
    <row r="15" spans="1:28" x14ac:dyDescent="0.3">
      <c r="A15" s="114">
        <v>13</v>
      </c>
      <c r="B15" s="115">
        <v>46125</v>
      </c>
      <c r="C15" s="3">
        <f>SUBTOTAL(3,D$3:D15)</f>
        <v>13</v>
      </c>
      <c r="D15" s="24">
        <v>46125</v>
      </c>
      <c r="E15"/>
      <c r="F15"/>
      <c r="G15"/>
      <c r="H15" s="8" t="s">
        <v>10</v>
      </c>
      <c r="I15" t="s">
        <v>101</v>
      </c>
      <c r="J15" s="8"/>
      <c r="K15" s="8"/>
      <c r="L15" s="8"/>
      <c r="M15" s="8"/>
      <c r="N15" s="8"/>
      <c r="O15" s="118">
        <v>130</v>
      </c>
      <c r="P15" s="117">
        <v>8.82</v>
      </c>
      <c r="Q15" s="13">
        <v>2400</v>
      </c>
      <c r="R15" s="13">
        <f t="shared" si="0"/>
        <v>2400</v>
      </c>
      <c r="S15" s="8"/>
      <c r="T15" s="17">
        <f t="shared" si="1"/>
        <v>2400</v>
      </c>
      <c r="U15" s="17"/>
      <c r="V15" s="109"/>
      <c r="W15" s="109"/>
      <c r="X15" s="109"/>
      <c r="Y15" s="109"/>
      <c r="Z15" s="109"/>
      <c r="AA15" s="109">
        <f>+SUM(Table1[[#This Row],[DIESEL]:[FIXED EXP]])</f>
        <v>0</v>
      </c>
      <c r="AB15" s="110">
        <f>+Table1[[#This Row],[TOTAL AMOUNT]]-Table1[[#This Row],[TOTAL COST]]</f>
        <v>2400</v>
      </c>
    </row>
    <row r="16" spans="1:28" x14ac:dyDescent="0.3">
      <c r="A16" s="114">
        <v>14</v>
      </c>
      <c r="B16" s="115">
        <v>46126</v>
      </c>
      <c r="C16" s="3">
        <f>SUBTOTAL(3,D$3:D16)</f>
        <v>14</v>
      </c>
      <c r="D16" s="24">
        <v>46126</v>
      </c>
      <c r="E16"/>
      <c r="F16"/>
      <c r="G16"/>
      <c r="H16" s="8" t="s">
        <v>10</v>
      </c>
      <c r="I16" t="s">
        <v>102</v>
      </c>
      <c r="J16" s="8"/>
      <c r="K16" s="8"/>
      <c r="L16" s="8"/>
      <c r="M16" s="8"/>
      <c r="N16" s="8"/>
      <c r="O16" s="118">
        <v>140</v>
      </c>
      <c r="P16" s="117">
        <v>3.65</v>
      </c>
      <c r="Q16" s="13">
        <v>2400</v>
      </c>
      <c r="R16" s="13">
        <f t="shared" si="0"/>
        <v>2400</v>
      </c>
      <c r="S16" s="8"/>
      <c r="T16" s="17">
        <f t="shared" si="1"/>
        <v>2400</v>
      </c>
      <c r="U16" s="17"/>
      <c r="V16" s="109"/>
      <c r="W16" s="109"/>
      <c r="X16" s="109"/>
      <c r="Y16" s="109"/>
      <c r="Z16" s="109"/>
      <c r="AA16" s="109">
        <f>+SUM(Table1[[#This Row],[DIESEL]:[FIXED EXP]])</f>
        <v>0</v>
      </c>
      <c r="AB16" s="110">
        <f>+Table1[[#This Row],[TOTAL AMOUNT]]-Table1[[#This Row],[TOTAL COST]]</f>
        <v>2400</v>
      </c>
    </row>
    <row r="17" spans="1:28" x14ac:dyDescent="0.3">
      <c r="A17" s="114">
        <v>15</v>
      </c>
      <c r="B17" s="115">
        <v>46127</v>
      </c>
      <c r="C17" s="3">
        <f>SUBTOTAL(3,D$3:D17)</f>
        <v>15</v>
      </c>
      <c r="D17" s="24">
        <v>46127</v>
      </c>
      <c r="E17"/>
      <c r="F17"/>
      <c r="G17"/>
      <c r="H17" s="8" t="s">
        <v>10</v>
      </c>
      <c r="I17" t="s">
        <v>102</v>
      </c>
      <c r="J17" s="8"/>
      <c r="K17" s="8"/>
      <c r="L17" s="8"/>
      <c r="M17" s="8"/>
      <c r="N17" s="8"/>
      <c r="O17" s="118">
        <v>150</v>
      </c>
      <c r="P17" s="117">
        <v>4.51</v>
      </c>
      <c r="Q17" s="13">
        <v>2400</v>
      </c>
      <c r="R17" s="13">
        <f t="shared" si="0"/>
        <v>2400</v>
      </c>
      <c r="S17" s="8"/>
      <c r="T17" s="17">
        <f t="shared" si="1"/>
        <v>2400</v>
      </c>
      <c r="U17" s="17"/>
      <c r="V17" s="109"/>
      <c r="W17" s="109"/>
      <c r="X17" s="109"/>
      <c r="Y17" s="109"/>
      <c r="Z17" s="109"/>
      <c r="AA17" s="109">
        <f>+SUM(Table1[[#This Row],[DIESEL]:[FIXED EXP]])</f>
        <v>0</v>
      </c>
      <c r="AB17" s="110">
        <f>+Table1[[#This Row],[TOTAL AMOUNT]]-Table1[[#This Row],[TOTAL COST]]</f>
        <v>2400</v>
      </c>
    </row>
    <row r="18" spans="1:28" x14ac:dyDescent="0.3">
      <c r="A18" s="114">
        <v>16</v>
      </c>
      <c r="B18" s="115">
        <v>46128</v>
      </c>
      <c r="C18" s="3">
        <f>SUBTOTAL(3,D$3:D18)</f>
        <v>16</v>
      </c>
      <c r="D18" s="24">
        <v>46128</v>
      </c>
      <c r="E18"/>
      <c r="F18"/>
      <c r="G18"/>
      <c r="H18" s="8" t="s">
        <v>10</v>
      </c>
      <c r="I18" t="s">
        <v>102</v>
      </c>
      <c r="J18" s="8"/>
      <c r="K18" s="8"/>
      <c r="L18" s="8"/>
      <c r="M18" s="8"/>
      <c r="N18" s="8"/>
      <c r="O18" s="118">
        <v>160</v>
      </c>
      <c r="P18" s="117">
        <v>4.2300000000000004</v>
      </c>
      <c r="Q18" s="13">
        <v>2400</v>
      </c>
      <c r="R18" s="13">
        <f t="shared" si="0"/>
        <v>2400</v>
      </c>
      <c r="S18" s="8"/>
      <c r="T18" s="17">
        <f t="shared" si="1"/>
        <v>2400</v>
      </c>
      <c r="U18" s="17"/>
      <c r="V18" s="109"/>
      <c r="W18" s="109"/>
      <c r="X18" s="109"/>
      <c r="Y18" s="109"/>
      <c r="Z18" s="109"/>
      <c r="AA18" s="109">
        <f>+SUM(Table1[[#This Row],[DIESEL]:[FIXED EXP]])</f>
        <v>0</v>
      </c>
      <c r="AB18" s="110">
        <f>+Table1[[#This Row],[TOTAL AMOUNT]]-Table1[[#This Row],[TOTAL COST]]</f>
        <v>2400</v>
      </c>
    </row>
    <row r="19" spans="1:28" x14ac:dyDescent="0.3">
      <c r="A19" s="114">
        <v>17</v>
      </c>
      <c r="B19" s="115">
        <v>46129</v>
      </c>
      <c r="C19" s="3">
        <f>SUBTOTAL(3,D$3:D19)</f>
        <v>17</v>
      </c>
      <c r="D19" s="24">
        <v>46129</v>
      </c>
      <c r="E19"/>
      <c r="F19"/>
      <c r="G19"/>
      <c r="H19" s="8" t="s">
        <v>10</v>
      </c>
      <c r="I19" t="s">
        <v>102</v>
      </c>
      <c r="J19" s="8"/>
      <c r="K19" s="8"/>
      <c r="L19" s="8"/>
      <c r="M19" s="8"/>
      <c r="N19" s="8"/>
      <c r="O19" s="118">
        <v>170</v>
      </c>
      <c r="P19" s="117">
        <v>4.03</v>
      </c>
      <c r="Q19" s="13">
        <v>2400</v>
      </c>
      <c r="R19" s="13">
        <f t="shared" si="0"/>
        <v>2400</v>
      </c>
      <c r="S19" s="8"/>
      <c r="T19" s="17">
        <f t="shared" si="1"/>
        <v>2400</v>
      </c>
      <c r="U19" s="17"/>
      <c r="V19" s="109"/>
      <c r="W19" s="109"/>
      <c r="X19" s="109"/>
      <c r="Y19" s="109"/>
      <c r="Z19" s="109"/>
      <c r="AA19" s="109">
        <f>+SUM(Table1[[#This Row],[DIESEL]:[FIXED EXP]])</f>
        <v>0</v>
      </c>
      <c r="AB19" s="110">
        <f>+Table1[[#This Row],[TOTAL AMOUNT]]-Table1[[#This Row],[TOTAL COST]]</f>
        <v>2400</v>
      </c>
    </row>
    <row r="20" spans="1:28" x14ac:dyDescent="0.3">
      <c r="A20" s="114">
        <v>18</v>
      </c>
      <c r="B20" s="115">
        <v>46130</v>
      </c>
      <c r="C20" s="3">
        <f>SUBTOTAL(3,D$3:D20)</f>
        <v>18</v>
      </c>
      <c r="D20" s="24">
        <v>46130</v>
      </c>
      <c r="E20"/>
      <c r="F20"/>
      <c r="G20"/>
      <c r="H20" s="8" t="s">
        <v>10</v>
      </c>
      <c r="I20" t="s">
        <v>102</v>
      </c>
      <c r="J20" s="8"/>
      <c r="K20" s="8"/>
      <c r="L20" s="8"/>
      <c r="M20" s="8"/>
      <c r="N20" s="8"/>
      <c r="O20" s="118">
        <v>180</v>
      </c>
      <c r="P20" s="117">
        <v>4.3600000000000003</v>
      </c>
      <c r="Q20" s="13">
        <v>2400</v>
      </c>
      <c r="R20" s="13">
        <f t="shared" si="0"/>
        <v>2400</v>
      </c>
      <c r="S20" s="8"/>
      <c r="T20" s="17">
        <f t="shared" si="1"/>
        <v>2400</v>
      </c>
      <c r="U20" s="17"/>
      <c r="V20" s="109"/>
      <c r="W20" s="109"/>
      <c r="X20" s="109"/>
      <c r="Y20" s="109"/>
      <c r="Z20" s="109"/>
      <c r="AA20" s="109">
        <f>+SUM(Table1[[#This Row],[DIESEL]:[FIXED EXP]])</f>
        <v>0</v>
      </c>
      <c r="AB20" s="110">
        <f>+Table1[[#This Row],[TOTAL AMOUNT]]-Table1[[#This Row],[TOTAL COST]]</f>
        <v>2400</v>
      </c>
    </row>
    <row r="21" spans="1:28" x14ac:dyDescent="0.3">
      <c r="A21" s="114">
        <v>19</v>
      </c>
      <c r="B21" s="115">
        <v>46131</v>
      </c>
      <c r="C21" s="3">
        <f>SUBTOTAL(3,D$3:D21)</f>
        <v>19</v>
      </c>
      <c r="D21" s="24">
        <v>46131</v>
      </c>
      <c r="E21"/>
      <c r="F21"/>
      <c r="G21"/>
      <c r="H21" s="8" t="s">
        <v>10</v>
      </c>
      <c r="I21" t="s">
        <v>102</v>
      </c>
      <c r="J21" s="8"/>
      <c r="K21" s="8"/>
      <c r="L21" s="8"/>
      <c r="M21" s="8"/>
      <c r="N21" s="8"/>
      <c r="O21" s="118">
        <v>190</v>
      </c>
      <c r="P21" s="117">
        <v>4.42</v>
      </c>
      <c r="Q21" s="13">
        <v>2400</v>
      </c>
      <c r="R21" s="13">
        <f t="shared" si="0"/>
        <v>2400</v>
      </c>
      <c r="S21" s="8"/>
      <c r="T21" s="17">
        <f t="shared" si="1"/>
        <v>2400</v>
      </c>
      <c r="U21" s="17"/>
      <c r="V21" s="109"/>
      <c r="W21" s="109"/>
      <c r="X21" s="109"/>
      <c r="Y21" s="109"/>
      <c r="Z21" s="109"/>
      <c r="AA21" s="109">
        <f>+SUM(Table1[[#This Row],[DIESEL]:[FIXED EXP]])</f>
        <v>0</v>
      </c>
      <c r="AB21" s="110">
        <f>+Table1[[#This Row],[TOTAL AMOUNT]]-Table1[[#This Row],[TOTAL COST]]</f>
        <v>2400</v>
      </c>
    </row>
    <row r="22" spans="1:28" x14ac:dyDescent="0.3">
      <c r="A22" s="114">
        <v>20</v>
      </c>
      <c r="B22" s="115">
        <v>46132</v>
      </c>
      <c r="C22" s="3">
        <f>SUBTOTAL(3,D$3:D22)</f>
        <v>20</v>
      </c>
      <c r="D22" s="24">
        <v>46132</v>
      </c>
      <c r="E22"/>
      <c r="F22"/>
      <c r="G22"/>
      <c r="H22" s="8" t="s">
        <v>10</v>
      </c>
      <c r="I22" t="s">
        <v>102</v>
      </c>
      <c r="J22" s="8"/>
      <c r="K22" s="8"/>
      <c r="L22" s="8"/>
      <c r="M22" s="8"/>
      <c r="N22" s="8"/>
      <c r="O22" s="118">
        <v>200</v>
      </c>
      <c r="P22" s="117">
        <v>4.5</v>
      </c>
      <c r="Q22" s="13">
        <v>2400</v>
      </c>
      <c r="R22" s="13">
        <f t="shared" si="0"/>
        <v>2400</v>
      </c>
      <c r="S22" s="8"/>
      <c r="T22" s="17">
        <f t="shared" si="1"/>
        <v>2400</v>
      </c>
      <c r="U22" s="17"/>
      <c r="V22" s="109"/>
      <c r="W22" s="109"/>
      <c r="X22" s="109"/>
      <c r="Y22" s="109"/>
      <c r="Z22" s="109"/>
      <c r="AA22" s="109">
        <f>+SUM(Table1[[#This Row],[DIESEL]:[FIXED EXP]])</f>
        <v>0</v>
      </c>
      <c r="AB22" s="110">
        <f>+Table1[[#This Row],[TOTAL AMOUNT]]-Table1[[#This Row],[TOTAL COST]]</f>
        <v>2400</v>
      </c>
    </row>
    <row r="23" spans="1:28" x14ac:dyDescent="0.3">
      <c r="A23" s="114">
        <v>21</v>
      </c>
      <c r="B23" s="115">
        <v>46133</v>
      </c>
      <c r="C23" s="3">
        <f>SUBTOTAL(3,D$3:D23)</f>
        <v>21</v>
      </c>
      <c r="D23" s="24">
        <v>46133</v>
      </c>
      <c r="E23"/>
      <c r="F23"/>
      <c r="G23"/>
      <c r="H23" s="8" t="s">
        <v>10</v>
      </c>
      <c r="I23" t="s">
        <v>102</v>
      </c>
      <c r="J23" s="8"/>
      <c r="K23" s="8"/>
      <c r="L23" s="8"/>
      <c r="M23" s="8"/>
      <c r="N23" s="8"/>
      <c r="O23" s="118">
        <v>210</v>
      </c>
      <c r="P23" s="117">
        <v>4.3600000000000003</v>
      </c>
      <c r="Q23" s="13">
        <v>2400</v>
      </c>
      <c r="R23" s="13">
        <f t="shared" si="0"/>
        <v>2400</v>
      </c>
      <c r="S23" s="8"/>
      <c r="T23" s="17">
        <f t="shared" si="1"/>
        <v>2400</v>
      </c>
      <c r="U23" s="17"/>
      <c r="V23" s="109"/>
      <c r="W23" s="109"/>
      <c r="X23" s="109"/>
      <c r="Y23" s="109"/>
      <c r="Z23" s="109"/>
      <c r="AA23" s="109">
        <f>+SUM(Table1[[#This Row],[DIESEL]:[FIXED EXP]])</f>
        <v>0</v>
      </c>
      <c r="AB23" s="110">
        <f>+Table1[[#This Row],[TOTAL AMOUNT]]-Table1[[#This Row],[TOTAL COST]]</f>
        <v>2400</v>
      </c>
    </row>
    <row r="24" spans="1:28" x14ac:dyDescent="0.3">
      <c r="A24" s="114">
        <v>22</v>
      </c>
      <c r="B24" s="115">
        <v>46134</v>
      </c>
      <c r="C24" s="3">
        <f>SUBTOTAL(3,D$3:D24)</f>
        <v>22</v>
      </c>
      <c r="D24" s="24">
        <v>46134</v>
      </c>
      <c r="E24"/>
      <c r="F24"/>
      <c r="G24"/>
      <c r="H24" s="8" t="s">
        <v>10</v>
      </c>
      <c r="I24" t="s">
        <v>102</v>
      </c>
      <c r="J24" s="8"/>
      <c r="K24" s="8"/>
      <c r="L24" s="8"/>
      <c r="M24" s="8"/>
      <c r="N24" s="8"/>
      <c r="O24" s="118">
        <v>220</v>
      </c>
      <c r="P24" s="117">
        <v>3.82</v>
      </c>
      <c r="Q24" s="13">
        <v>2400</v>
      </c>
      <c r="R24" s="13">
        <f t="shared" si="0"/>
        <v>2400</v>
      </c>
      <c r="S24" s="8"/>
      <c r="T24" s="17">
        <f t="shared" si="1"/>
        <v>2400</v>
      </c>
      <c r="U24" s="17"/>
      <c r="V24" s="109"/>
      <c r="W24" s="109"/>
      <c r="X24" s="109"/>
      <c r="Y24" s="109"/>
      <c r="Z24" s="109"/>
      <c r="AA24" s="109">
        <f>+SUM(Table1[[#This Row],[DIESEL]:[FIXED EXP]])</f>
        <v>0</v>
      </c>
      <c r="AB24" s="110">
        <f>+Table1[[#This Row],[TOTAL AMOUNT]]-Table1[[#This Row],[TOTAL COST]]</f>
        <v>2400</v>
      </c>
    </row>
    <row r="25" spans="1:28" x14ac:dyDescent="0.3">
      <c r="A25" s="114">
        <v>23</v>
      </c>
      <c r="B25" s="115">
        <v>46135</v>
      </c>
      <c r="C25" s="3">
        <f>SUBTOTAL(3,D$3:D25)</f>
        <v>23</v>
      </c>
      <c r="D25" s="24">
        <v>46135</v>
      </c>
      <c r="E25"/>
      <c r="F25"/>
      <c r="G25"/>
      <c r="H25" s="8" t="s">
        <v>10</v>
      </c>
      <c r="I25" t="s">
        <v>102</v>
      </c>
      <c r="J25" s="8"/>
      <c r="K25" s="8"/>
      <c r="L25" s="8"/>
      <c r="M25" s="8"/>
      <c r="N25" s="8"/>
      <c r="O25" s="118">
        <v>230</v>
      </c>
      <c r="P25" s="117">
        <v>4.99</v>
      </c>
      <c r="Q25" s="13">
        <v>2400</v>
      </c>
      <c r="R25" s="13">
        <f t="shared" si="0"/>
        <v>2400</v>
      </c>
      <c r="S25" s="8"/>
      <c r="T25" s="17">
        <f t="shared" si="1"/>
        <v>2400</v>
      </c>
      <c r="U25" s="17"/>
      <c r="V25" s="109"/>
      <c r="W25" s="109"/>
      <c r="X25" s="109"/>
      <c r="Y25" s="109"/>
      <c r="Z25" s="109"/>
      <c r="AA25" s="109">
        <f>+SUM(Table1[[#This Row],[DIESEL]:[FIXED EXP]])</f>
        <v>0</v>
      </c>
      <c r="AB25" s="110">
        <f>+Table1[[#This Row],[TOTAL AMOUNT]]-Table1[[#This Row],[TOTAL COST]]</f>
        <v>2400</v>
      </c>
    </row>
    <row r="26" spans="1:28" x14ac:dyDescent="0.3">
      <c r="A26" s="114">
        <v>24</v>
      </c>
      <c r="B26" s="115">
        <v>46136</v>
      </c>
      <c r="C26" s="3">
        <f>SUBTOTAL(3,D$3:D26)</f>
        <v>24</v>
      </c>
      <c r="D26" s="24">
        <v>46136</v>
      </c>
      <c r="E26"/>
      <c r="F26"/>
      <c r="G26"/>
      <c r="H26" s="8" t="s">
        <v>10</v>
      </c>
      <c r="I26" t="s">
        <v>101</v>
      </c>
      <c r="J26" s="8"/>
      <c r="K26" s="8"/>
      <c r="L26" s="8"/>
      <c r="M26" s="8"/>
      <c r="N26" s="8"/>
      <c r="O26" s="118">
        <v>240</v>
      </c>
      <c r="P26" s="117">
        <v>8.35</v>
      </c>
      <c r="Q26" s="13">
        <v>4500</v>
      </c>
      <c r="R26" s="13">
        <f t="shared" si="0"/>
        <v>4500</v>
      </c>
      <c r="S26" s="8"/>
      <c r="T26" s="17">
        <f t="shared" si="1"/>
        <v>4500</v>
      </c>
      <c r="U26" s="17"/>
      <c r="V26" s="109"/>
      <c r="W26" s="109"/>
      <c r="X26" s="109"/>
      <c r="Y26" s="109"/>
      <c r="Z26" s="109"/>
      <c r="AA26" s="109">
        <f>+SUM(Table1[[#This Row],[DIESEL]:[FIXED EXP]])</f>
        <v>0</v>
      </c>
      <c r="AB26" s="110">
        <f>+Table1[[#This Row],[TOTAL AMOUNT]]-Table1[[#This Row],[TOTAL COST]]</f>
        <v>4500</v>
      </c>
    </row>
    <row r="27" spans="1:28" x14ac:dyDescent="0.3">
      <c r="A27" s="114">
        <v>25</v>
      </c>
      <c r="B27" s="115">
        <v>46137</v>
      </c>
      <c r="C27" s="3">
        <f>SUBTOTAL(3,D$3:D27)</f>
        <v>25</v>
      </c>
      <c r="D27" s="24">
        <v>46137</v>
      </c>
      <c r="E27"/>
      <c r="F27"/>
      <c r="G27"/>
      <c r="H27" s="8" t="s">
        <v>10</v>
      </c>
      <c r="I27" t="s">
        <v>102</v>
      </c>
      <c r="J27" s="8"/>
      <c r="K27" s="8"/>
      <c r="L27" s="8"/>
      <c r="M27" s="8"/>
      <c r="N27" s="8"/>
      <c r="O27" s="118">
        <v>250</v>
      </c>
      <c r="P27" s="117">
        <v>6.29</v>
      </c>
      <c r="Q27" s="8">
        <v>3250</v>
      </c>
      <c r="R27" s="13">
        <f t="shared" si="0"/>
        <v>3250</v>
      </c>
      <c r="S27" s="8"/>
      <c r="T27" s="17">
        <f t="shared" si="1"/>
        <v>3250</v>
      </c>
      <c r="U27" s="8"/>
      <c r="V27" s="109"/>
      <c r="W27" s="109"/>
      <c r="X27" s="109"/>
      <c r="Y27" s="109"/>
      <c r="Z27" s="109"/>
      <c r="AA27" s="109">
        <f>+SUM(Table1[[#This Row],[DIESEL]:[FIXED EXP]])</f>
        <v>0</v>
      </c>
      <c r="AB27" s="110">
        <f>+Table1[[#This Row],[TOTAL AMOUNT]]-Table1[[#This Row],[TOTAL COST]]</f>
        <v>3250</v>
      </c>
    </row>
    <row r="28" spans="1:28" x14ac:dyDescent="0.3">
      <c r="A28" s="114">
        <v>26</v>
      </c>
      <c r="B28" s="115">
        <v>46138</v>
      </c>
      <c r="C28" s="3">
        <f>SUBTOTAL(3,D$3:D28)</f>
        <v>26</v>
      </c>
      <c r="D28" s="24">
        <v>46138</v>
      </c>
      <c r="E28"/>
      <c r="F28"/>
      <c r="G28"/>
      <c r="H28" s="8" t="s">
        <v>10</v>
      </c>
      <c r="I28" t="s">
        <v>102</v>
      </c>
      <c r="J28" s="8"/>
      <c r="K28" s="8"/>
      <c r="L28" s="8"/>
      <c r="M28" s="8"/>
      <c r="N28" s="8"/>
      <c r="O28" s="118">
        <v>260</v>
      </c>
      <c r="P28" s="117">
        <v>4.4800000000000004</v>
      </c>
      <c r="Q28" s="8">
        <v>2400</v>
      </c>
      <c r="R28" s="13">
        <f t="shared" si="0"/>
        <v>2400</v>
      </c>
      <c r="S28" s="8"/>
      <c r="T28" s="17">
        <f t="shared" si="1"/>
        <v>2400</v>
      </c>
      <c r="U28" s="8"/>
      <c r="V28" s="109"/>
      <c r="W28" s="109"/>
      <c r="X28" s="109"/>
      <c r="Y28" s="109"/>
      <c r="Z28" s="109"/>
      <c r="AA28" s="109">
        <f>+SUM(Table1[[#This Row],[DIESEL]:[FIXED EXP]])</f>
        <v>0</v>
      </c>
      <c r="AB28" s="110">
        <f>+Table1[[#This Row],[TOTAL AMOUNT]]-Table1[[#This Row],[TOTAL COST]]</f>
        <v>2400</v>
      </c>
    </row>
    <row r="29" spans="1:28" x14ac:dyDescent="0.3">
      <c r="A29" s="114">
        <v>27</v>
      </c>
      <c r="B29" s="115">
        <v>46139</v>
      </c>
      <c r="C29" s="3">
        <f>SUBTOTAL(3,D$3:D29)</f>
        <v>27</v>
      </c>
      <c r="D29" s="24">
        <v>46139</v>
      </c>
      <c r="E29"/>
      <c r="F29"/>
      <c r="G29"/>
      <c r="H29" s="8" t="s">
        <v>10</v>
      </c>
      <c r="I29" t="s">
        <v>102</v>
      </c>
      <c r="J29" s="8"/>
      <c r="K29" s="8"/>
      <c r="L29" s="8"/>
      <c r="M29" s="8"/>
      <c r="N29" s="8"/>
      <c r="O29" s="118">
        <v>270</v>
      </c>
      <c r="P29" s="117">
        <v>3.91</v>
      </c>
      <c r="Q29" s="8">
        <v>2400</v>
      </c>
      <c r="R29" s="13">
        <f t="shared" si="0"/>
        <v>2400</v>
      </c>
      <c r="S29" s="8"/>
      <c r="T29" s="17">
        <f t="shared" si="1"/>
        <v>2400</v>
      </c>
      <c r="U29" s="8"/>
      <c r="V29" s="109"/>
      <c r="W29" s="109"/>
      <c r="X29" s="109"/>
      <c r="Y29" s="109"/>
      <c r="Z29" s="109"/>
      <c r="AA29" s="109">
        <f>+SUM(Table1[[#This Row],[DIESEL]:[FIXED EXP]])</f>
        <v>0</v>
      </c>
      <c r="AB29" s="110">
        <f>+Table1[[#This Row],[TOTAL AMOUNT]]-Table1[[#This Row],[TOTAL COST]]</f>
        <v>2400</v>
      </c>
    </row>
    <row r="30" spans="1:28" x14ac:dyDescent="0.3">
      <c r="A30" s="114">
        <v>28</v>
      </c>
      <c r="B30" s="115">
        <v>46140</v>
      </c>
      <c r="C30" s="3">
        <f>SUBTOTAL(3,D$3:D30)</f>
        <v>28</v>
      </c>
      <c r="D30" s="24">
        <v>46140</v>
      </c>
      <c r="E30"/>
      <c r="F30"/>
      <c r="G30"/>
      <c r="H30" s="8" t="s">
        <v>10</v>
      </c>
      <c r="I30" t="s">
        <v>102</v>
      </c>
      <c r="J30" s="8"/>
      <c r="K30" s="8"/>
      <c r="L30" s="8"/>
      <c r="M30" s="8"/>
      <c r="N30" s="8"/>
      <c r="O30" s="118">
        <v>280</v>
      </c>
      <c r="P30" s="117">
        <v>4.7</v>
      </c>
      <c r="Q30" s="8">
        <v>2400</v>
      </c>
      <c r="R30" s="13">
        <f t="shared" si="0"/>
        <v>2400</v>
      </c>
      <c r="S30" s="8"/>
      <c r="T30" s="17">
        <f t="shared" si="1"/>
        <v>2400</v>
      </c>
      <c r="U30" s="8"/>
      <c r="V30" s="109"/>
      <c r="W30" s="109"/>
      <c r="X30" s="109"/>
      <c r="Y30" s="109"/>
      <c r="Z30" s="109"/>
      <c r="AA30" s="109">
        <f>+SUM(Table1[[#This Row],[DIESEL]:[FIXED EXP]])</f>
        <v>0</v>
      </c>
      <c r="AB30" s="110">
        <f>+Table1[[#This Row],[TOTAL AMOUNT]]-Table1[[#This Row],[TOTAL COST]]</f>
        <v>2400</v>
      </c>
    </row>
    <row r="31" spans="1:28" x14ac:dyDescent="0.3">
      <c r="A31" s="114">
        <v>29</v>
      </c>
      <c r="B31" s="115">
        <v>46141</v>
      </c>
      <c r="C31" s="3">
        <f>SUBTOTAL(3,D$3:D31)</f>
        <v>29</v>
      </c>
      <c r="D31" s="24">
        <v>46141</v>
      </c>
      <c r="E31"/>
      <c r="F31"/>
      <c r="G31"/>
      <c r="H31" s="8" t="s">
        <v>10</v>
      </c>
      <c r="I31" t="s">
        <v>101</v>
      </c>
      <c r="J31" s="8"/>
      <c r="K31" s="8"/>
      <c r="L31" s="8"/>
      <c r="M31" s="8"/>
      <c r="N31" s="8"/>
      <c r="O31" s="118">
        <v>290</v>
      </c>
      <c r="P31" s="117">
        <v>11.95</v>
      </c>
      <c r="Q31" s="8">
        <v>2350</v>
      </c>
      <c r="R31" s="13">
        <f t="shared" si="0"/>
        <v>2808</v>
      </c>
      <c r="S31" s="8"/>
      <c r="T31" s="17">
        <f t="shared" si="1"/>
        <v>2808</v>
      </c>
      <c r="U31" s="8"/>
      <c r="V31" s="109"/>
      <c r="W31" s="109"/>
      <c r="X31" s="109"/>
      <c r="Y31" s="109"/>
      <c r="Z31" s="109"/>
      <c r="AA31" s="109">
        <f>+SUM(Table1[[#This Row],[DIESEL]:[FIXED EXP]])</f>
        <v>0</v>
      </c>
      <c r="AB31" s="110">
        <f>+Table1[[#This Row],[TOTAL AMOUNT]]-Table1[[#This Row],[TOTAL COST]]</f>
        <v>2808</v>
      </c>
    </row>
    <row r="32" spans="1:28" x14ac:dyDescent="0.3">
      <c r="A32" s="114">
        <v>30</v>
      </c>
      <c r="B32" s="115">
        <v>46142</v>
      </c>
      <c r="C32" s="3">
        <f>SUBTOTAL(3,D$3:D32)</f>
        <v>30</v>
      </c>
      <c r="D32" s="24">
        <v>46142</v>
      </c>
      <c r="E32"/>
      <c r="F32"/>
      <c r="G32"/>
      <c r="H32" s="8" t="s">
        <v>10</v>
      </c>
      <c r="I32" t="s">
        <v>102</v>
      </c>
      <c r="J32" s="8"/>
      <c r="K32" s="8"/>
      <c r="L32" s="8"/>
      <c r="M32" s="8"/>
      <c r="N32" s="8"/>
      <c r="O32" s="118">
        <v>300</v>
      </c>
      <c r="P32" s="117">
        <v>4.0599999999999996</v>
      </c>
      <c r="Q32" s="8">
        <v>2400</v>
      </c>
      <c r="R32" s="13">
        <f t="shared" si="0"/>
        <v>2400</v>
      </c>
      <c r="S32" s="8"/>
      <c r="T32" s="17">
        <f t="shared" si="1"/>
        <v>2400</v>
      </c>
      <c r="U32" s="8"/>
      <c r="V32" s="109"/>
      <c r="W32" s="109"/>
      <c r="X32" s="109"/>
      <c r="Y32" s="109"/>
      <c r="Z32" s="109"/>
      <c r="AA32" s="109">
        <f>+SUM(Table1[[#This Row],[DIESEL]:[FIXED EXP]])</f>
        <v>0</v>
      </c>
      <c r="AB32" s="110">
        <f>+Table1[[#This Row],[TOTAL AMOUNT]]-Table1[[#This Row],[TOTAL COST]]</f>
        <v>2400</v>
      </c>
    </row>
    <row r="33" spans="1:28" x14ac:dyDescent="0.3">
      <c r="A33" s="114">
        <v>31</v>
      </c>
      <c r="B33" s="115">
        <v>46143</v>
      </c>
      <c r="C33" s="3">
        <f>SUBTOTAL(3,D$3:D33)</f>
        <v>31</v>
      </c>
      <c r="D33" s="24">
        <v>46143</v>
      </c>
      <c r="E33"/>
      <c r="F33"/>
      <c r="G33"/>
      <c r="H33" s="8" t="s">
        <v>10</v>
      </c>
      <c r="I33" t="s">
        <v>102</v>
      </c>
      <c r="J33" s="8"/>
      <c r="K33" s="8"/>
      <c r="L33" s="8"/>
      <c r="M33" s="8"/>
      <c r="N33" s="8"/>
      <c r="O33" s="118">
        <v>310</v>
      </c>
      <c r="P33" s="117">
        <v>4.34</v>
      </c>
      <c r="Q33" s="8">
        <v>2400</v>
      </c>
      <c r="R33" s="13">
        <f t="shared" si="0"/>
        <v>2400</v>
      </c>
      <c r="S33" s="8"/>
      <c r="T33" s="17">
        <f t="shared" si="1"/>
        <v>2400</v>
      </c>
      <c r="U33" s="8"/>
      <c r="V33" s="109"/>
      <c r="W33" s="109"/>
      <c r="X33" s="109"/>
      <c r="Y33" s="109"/>
      <c r="Z33" s="109"/>
      <c r="AA33" s="109">
        <f>+SUM(Table1[[#This Row],[DIESEL]:[FIXED EXP]])</f>
        <v>0</v>
      </c>
      <c r="AB33" s="110">
        <f>+Table1[[#This Row],[TOTAL AMOUNT]]-Table1[[#This Row],[TOTAL COST]]</f>
        <v>2400</v>
      </c>
    </row>
    <row r="34" spans="1:28" x14ac:dyDescent="0.3">
      <c r="A34" s="114">
        <v>32</v>
      </c>
      <c r="B34" s="115">
        <v>46144</v>
      </c>
      <c r="C34" s="3">
        <f>SUBTOTAL(3,D$3:D34)</f>
        <v>32</v>
      </c>
      <c r="D34" s="24">
        <v>46144</v>
      </c>
      <c r="E34"/>
      <c r="F34"/>
      <c r="G34"/>
      <c r="H34" s="8" t="s">
        <v>10</v>
      </c>
      <c r="I34" t="s">
        <v>101</v>
      </c>
      <c r="J34" s="8"/>
      <c r="K34" s="8"/>
      <c r="L34" s="8"/>
      <c r="M34" s="8"/>
      <c r="N34" s="8"/>
      <c r="O34" s="118">
        <v>320</v>
      </c>
      <c r="P34" s="117">
        <v>5.3650000000000002</v>
      </c>
      <c r="Q34" s="8">
        <v>2350</v>
      </c>
      <c r="R34" s="13">
        <f t="shared" si="0"/>
        <v>2350</v>
      </c>
      <c r="S34" s="8"/>
      <c r="T34" s="17">
        <f t="shared" si="1"/>
        <v>2350</v>
      </c>
      <c r="U34" s="8"/>
      <c r="V34" s="109"/>
      <c r="W34" s="109"/>
      <c r="X34" s="109"/>
      <c r="Y34" s="109"/>
      <c r="Z34" s="109"/>
      <c r="AA34" s="109">
        <f>+SUM(Table1[[#This Row],[DIESEL]:[FIXED EXP]])</f>
        <v>0</v>
      </c>
      <c r="AB34" s="110">
        <f>+Table1[[#This Row],[TOTAL AMOUNT]]-Table1[[#This Row],[TOTAL COST]]</f>
        <v>2350</v>
      </c>
    </row>
    <row r="35" spans="1:28" x14ac:dyDescent="0.3">
      <c r="A35" s="114">
        <v>33</v>
      </c>
      <c r="B35" s="115">
        <v>46145</v>
      </c>
      <c r="C35" s="3">
        <f>SUBTOTAL(3,D$3:D35)</f>
        <v>33</v>
      </c>
      <c r="D35" s="24">
        <v>46145</v>
      </c>
      <c r="E35"/>
      <c r="F35"/>
      <c r="G35"/>
      <c r="H35" s="8" t="s">
        <v>10</v>
      </c>
      <c r="I35" t="s">
        <v>102</v>
      </c>
      <c r="J35" s="8"/>
      <c r="K35" s="8"/>
      <c r="L35" s="8"/>
      <c r="M35" s="8"/>
      <c r="N35" s="8"/>
      <c r="O35" s="118">
        <v>330</v>
      </c>
      <c r="P35" s="117">
        <v>4.74</v>
      </c>
      <c r="Q35" s="8">
        <v>2400</v>
      </c>
      <c r="R35" s="13">
        <f t="shared" si="0"/>
        <v>2400</v>
      </c>
      <c r="S35" s="8"/>
      <c r="T35" s="17">
        <f t="shared" si="1"/>
        <v>2400</v>
      </c>
      <c r="U35" s="8"/>
      <c r="V35" s="109"/>
      <c r="W35" s="109"/>
      <c r="X35" s="109"/>
      <c r="Y35" s="109"/>
      <c r="Z35" s="109"/>
      <c r="AA35" s="109">
        <f>+SUM(Table1[[#This Row],[DIESEL]:[FIXED EXP]])</f>
        <v>0</v>
      </c>
      <c r="AB35" s="110">
        <f>+Table1[[#This Row],[TOTAL AMOUNT]]-Table1[[#This Row],[TOTAL COST]]</f>
        <v>2400</v>
      </c>
    </row>
    <row r="36" spans="1:28" x14ac:dyDescent="0.3">
      <c r="A36" s="114">
        <v>34</v>
      </c>
      <c r="B36" s="115">
        <v>46146</v>
      </c>
      <c r="C36" s="3">
        <f>SUBTOTAL(3,D$3:D36)</f>
        <v>34</v>
      </c>
      <c r="D36" s="24">
        <v>46146</v>
      </c>
      <c r="E36"/>
      <c r="F36"/>
      <c r="G36"/>
      <c r="H36" s="8" t="s">
        <v>10</v>
      </c>
      <c r="I36" t="s">
        <v>102</v>
      </c>
      <c r="J36" s="8"/>
      <c r="K36" s="8"/>
      <c r="L36" s="8"/>
      <c r="M36" s="8"/>
      <c r="N36" s="8"/>
      <c r="O36" s="118">
        <v>340</v>
      </c>
      <c r="P36" s="117">
        <v>4.3</v>
      </c>
      <c r="Q36" s="8">
        <v>2400</v>
      </c>
      <c r="R36" s="13">
        <f t="shared" si="0"/>
        <v>2400</v>
      </c>
      <c r="S36" s="8"/>
      <c r="T36" s="17">
        <f t="shared" si="1"/>
        <v>2400</v>
      </c>
      <c r="U36" s="8"/>
      <c r="V36" s="109"/>
      <c r="W36" s="109"/>
      <c r="X36" s="109"/>
      <c r="Y36" s="109"/>
      <c r="Z36" s="109"/>
      <c r="AA36" s="109">
        <f>+SUM(Table1[[#This Row],[DIESEL]:[FIXED EXP]])</f>
        <v>0</v>
      </c>
      <c r="AB36" s="110">
        <f>+Table1[[#This Row],[TOTAL AMOUNT]]-Table1[[#This Row],[TOTAL COST]]</f>
        <v>2400</v>
      </c>
    </row>
    <row r="37" spans="1:28" x14ac:dyDescent="0.3">
      <c r="A37" s="114">
        <v>35</v>
      </c>
      <c r="B37" s="115">
        <v>46147</v>
      </c>
      <c r="C37" s="3">
        <f>SUBTOTAL(3,D$3:D37)</f>
        <v>35</v>
      </c>
      <c r="D37" s="24">
        <v>46147</v>
      </c>
      <c r="E37"/>
      <c r="F37"/>
      <c r="G37"/>
      <c r="H37" s="8" t="s">
        <v>10</v>
      </c>
      <c r="I37" t="s">
        <v>102</v>
      </c>
      <c r="J37" s="8"/>
      <c r="K37" s="8"/>
      <c r="L37" s="8"/>
      <c r="M37" s="8"/>
      <c r="N37" s="8"/>
      <c r="O37" s="118">
        <v>350</v>
      </c>
      <c r="P37" s="117">
        <v>4.25</v>
      </c>
      <c r="Q37" s="8">
        <v>2400</v>
      </c>
      <c r="R37" s="13">
        <f t="shared" si="0"/>
        <v>2400</v>
      </c>
      <c r="S37" s="8"/>
      <c r="T37" s="17">
        <f t="shared" si="1"/>
        <v>2400</v>
      </c>
      <c r="U37" s="8"/>
      <c r="V37" s="109"/>
      <c r="W37" s="109"/>
      <c r="X37" s="109"/>
      <c r="Y37" s="109"/>
      <c r="Z37" s="109"/>
      <c r="AA37" s="109">
        <f>+SUM(Table1[[#This Row],[DIESEL]:[FIXED EXP]])</f>
        <v>0</v>
      </c>
      <c r="AB37" s="110">
        <f>+Table1[[#This Row],[TOTAL AMOUNT]]-Table1[[#This Row],[TOTAL COST]]</f>
        <v>2400</v>
      </c>
    </row>
    <row r="38" spans="1:28" x14ac:dyDescent="0.3">
      <c r="A38" s="114">
        <v>36</v>
      </c>
      <c r="B38" s="115">
        <v>46148</v>
      </c>
      <c r="C38" s="3">
        <f>SUBTOTAL(3,D$3:D38)</f>
        <v>36</v>
      </c>
      <c r="D38" s="24">
        <v>46148</v>
      </c>
      <c r="E38"/>
      <c r="F38"/>
      <c r="G38"/>
      <c r="H38" s="8" t="s">
        <v>10</v>
      </c>
      <c r="I38" t="s">
        <v>102</v>
      </c>
      <c r="J38" s="8"/>
      <c r="K38" s="8"/>
      <c r="L38" s="8"/>
      <c r="M38" s="8"/>
      <c r="N38" s="8"/>
      <c r="O38" s="118">
        <v>360</v>
      </c>
      <c r="P38" s="117">
        <v>4.54</v>
      </c>
      <c r="Q38" s="8">
        <v>2400</v>
      </c>
      <c r="R38" s="13">
        <f t="shared" si="0"/>
        <v>2400</v>
      </c>
      <c r="S38" s="8"/>
      <c r="T38" s="17">
        <f t="shared" si="1"/>
        <v>2400</v>
      </c>
      <c r="U38" s="8"/>
      <c r="V38" s="109"/>
      <c r="W38" s="109"/>
      <c r="X38" s="109"/>
      <c r="Y38" s="109"/>
      <c r="Z38" s="109"/>
      <c r="AA38" s="109">
        <f>+SUM(Table1[[#This Row],[DIESEL]:[FIXED EXP]])</f>
        <v>0</v>
      </c>
      <c r="AB38" s="110">
        <f>+Table1[[#This Row],[TOTAL AMOUNT]]-Table1[[#This Row],[TOTAL COST]]</f>
        <v>2400</v>
      </c>
    </row>
    <row r="39" spans="1:28" x14ac:dyDescent="0.3">
      <c r="A39" s="114">
        <v>37</v>
      </c>
      <c r="B39" s="115">
        <v>46149</v>
      </c>
      <c r="C39" s="3">
        <f>SUBTOTAL(3,D$3:D39)</f>
        <v>37</v>
      </c>
      <c r="D39" s="24">
        <v>46149</v>
      </c>
      <c r="E39"/>
      <c r="F39"/>
      <c r="G39"/>
      <c r="H39" s="8" t="s">
        <v>10</v>
      </c>
      <c r="I39" t="s">
        <v>101</v>
      </c>
      <c r="J39" s="8"/>
      <c r="K39" s="8"/>
      <c r="L39" s="8"/>
      <c r="M39" s="8"/>
      <c r="N39" s="8"/>
      <c r="O39" s="118">
        <v>370</v>
      </c>
      <c r="P39" s="117">
        <v>4.6900000000000004</v>
      </c>
      <c r="Q39" s="8">
        <v>2350</v>
      </c>
      <c r="R39" s="13">
        <f t="shared" si="0"/>
        <v>2350</v>
      </c>
      <c r="S39" s="8"/>
      <c r="T39" s="17">
        <f t="shared" si="1"/>
        <v>2350</v>
      </c>
      <c r="U39" s="8"/>
      <c r="V39" s="109"/>
      <c r="W39" s="109"/>
      <c r="X39" s="109"/>
      <c r="Y39" s="109"/>
      <c r="Z39" s="109"/>
      <c r="AA39" s="109">
        <f>+SUM(Table1[[#This Row],[DIESEL]:[FIXED EXP]])</f>
        <v>0</v>
      </c>
      <c r="AB39" s="110">
        <f>+Table1[[#This Row],[TOTAL AMOUNT]]-Table1[[#This Row],[TOTAL COST]]</f>
        <v>2350</v>
      </c>
    </row>
    <row r="40" spans="1:28" x14ac:dyDescent="0.3">
      <c r="A40" s="114">
        <v>38</v>
      </c>
      <c r="B40" s="115">
        <v>46150</v>
      </c>
      <c r="C40" s="3">
        <f>SUBTOTAL(3,D$3:D40)</f>
        <v>38</v>
      </c>
      <c r="D40" s="24">
        <v>46150</v>
      </c>
      <c r="E40"/>
      <c r="F40"/>
      <c r="G40"/>
      <c r="H40" s="8" t="s">
        <v>10</v>
      </c>
      <c r="I40" t="s">
        <v>101</v>
      </c>
      <c r="J40" s="8"/>
      <c r="K40" s="8"/>
      <c r="L40" s="8"/>
      <c r="M40" s="8"/>
      <c r="N40" s="8"/>
      <c r="O40" s="118">
        <v>380</v>
      </c>
      <c r="P40" s="117">
        <v>5.9450000000000003</v>
      </c>
      <c r="Q40" s="8">
        <v>2350</v>
      </c>
      <c r="R40" s="13">
        <f t="shared" si="0"/>
        <v>2350</v>
      </c>
      <c r="S40" s="8"/>
      <c r="T40" s="17">
        <f t="shared" si="1"/>
        <v>2350</v>
      </c>
      <c r="U40" s="8"/>
      <c r="V40" s="109"/>
      <c r="W40" s="109"/>
      <c r="X40" s="109"/>
      <c r="Y40" s="109"/>
      <c r="Z40" s="109"/>
      <c r="AA40" s="109">
        <f>+SUM(Table1[[#This Row],[DIESEL]:[FIXED EXP]])</f>
        <v>0</v>
      </c>
      <c r="AB40" s="110">
        <f>+Table1[[#This Row],[TOTAL AMOUNT]]-Table1[[#This Row],[TOTAL COST]]</f>
        <v>2350</v>
      </c>
    </row>
    <row r="41" spans="1:28" x14ac:dyDescent="0.3">
      <c r="A41" s="114">
        <v>39</v>
      </c>
      <c r="B41" s="115">
        <v>46151</v>
      </c>
      <c r="C41" s="3">
        <f>SUBTOTAL(3,D$3:D41)</f>
        <v>39</v>
      </c>
      <c r="D41" s="24">
        <v>46151</v>
      </c>
      <c r="E41"/>
      <c r="F41"/>
      <c r="G41"/>
      <c r="H41" s="8" t="s">
        <v>10</v>
      </c>
      <c r="I41" t="s">
        <v>102</v>
      </c>
      <c r="J41" s="8"/>
      <c r="K41" s="8"/>
      <c r="L41" s="8"/>
      <c r="M41" s="8"/>
      <c r="N41" s="8"/>
      <c r="O41" s="118">
        <v>390</v>
      </c>
      <c r="P41" s="117">
        <v>4.51</v>
      </c>
      <c r="Q41" s="8">
        <v>2400</v>
      </c>
      <c r="R41" s="13">
        <f t="shared" si="0"/>
        <v>2400</v>
      </c>
      <c r="S41" s="8"/>
      <c r="T41" s="17">
        <f t="shared" si="1"/>
        <v>2400</v>
      </c>
      <c r="U41" s="8"/>
      <c r="V41" s="109"/>
      <c r="W41" s="109"/>
      <c r="X41" s="109"/>
      <c r="Y41" s="109"/>
      <c r="Z41" s="109"/>
      <c r="AA41" s="109">
        <f>+SUM(Table1[[#This Row],[DIESEL]:[FIXED EXP]])</f>
        <v>0</v>
      </c>
      <c r="AB41" s="110">
        <f>+Table1[[#This Row],[TOTAL AMOUNT]]-Table1[[#This Row],[TOTAL COST]]</f>
        <v>2400</v>
      </c>
    </row>
    <row r="42" spans="1:28" x14ac:dyDescent="0.3">
      <c r="A42" s="114">
        <v>40</v>
      </c>
      <c r="B42" s="115">
        <v>46152</v>
      </c>
      <c r="C42" s="3">
        <f>SUBTOTAL(3,D$3:D42)</f>
        <v>40</v>
      </c>
      <c r="D42" s="24">
        <v>46152</v>
      </c>
      <c r="E42"/>
      <c r="F42"/>
      <c r="G42"/>
      <c r="H42" s="8" t="s">
        <v>10</v>
      </c>
      <c r="I42" t="s">
        <v>101</v>
      </c>
      <c r="J42" s="8"/>
      <c r="K42" s="8"/>
      <c r="L42" s="8"/>
      <c r="M42" s="8"/>
      <c r="N42" s="8"/>
      <c r="O42" s="118">
        <v>400</v>
      </c>
      <c r="P42" s="117">
        <v>6.64</v>
      </c>
      <c r="Q42" s="8">
        <v>2350</v>
      </c>
      <c r="R42" s="13">
        <f t="shared" si="0"/>
        <v>2350</v>
      </c>
      <c r="S42" s="8"/>
      <c r="T42" s="17">
        <f t="shared" si="1"/>
        <v>2350</v>
      </c>
      <c r="U42" s="8"/>
      <c r="V42" s="109"/>
      <c r="W42" s="109"/>
      <c r="X42" s="109"/>
      <c r="Y42" s="109"/>
      <c r="Z42" s="109"/>
      <c r="AA42" s="109">
        <f>+SUM(Table1[[#This Row],[DIESEL]:[FIXED EXP]])</f>
        <v>0</v>
      </c>
      <c r="AB42" s="110">
        <f>+Table1[[#This Row],[TOTAL AMOUNT]]-Table1[[#This Row],[TOTAL COST]]</f>
        <v>2350</v>
      </c>
    </row>
    <row r="43" spans="1:28" x14ac:dyDescent="0.3">
      <c r="A43" s="114">
        <v>41</v>
      </c>
      <c r="B43" s="115">
        <v>46153</v>
      </c>
      <c r="C43" s="3">
        <f>SUBTOTAL(3,D$3:D43)</f>
        <v>41</v>
      </c>
      <c r="D43" s="24">
        <v>46153</v>
      </c>
      <c r="E43"/>
      <c r="F43"/>
      <c r="G43"/>
      <c r="H43" s="8" t="s">
        <v>10</v>
      </c>
      <c r="I43" t="s">
        <v>102</v>
      </c>
      <c r="J43" s="8"/>
      <c r="K43" s="8"/>
      <c r="L43" s="8"/>
      <c r="M43" s="8"/>
      <c r="N43" s="8"/>
      <c r="O43" s="118">
        <v>410</v>
      </c>
      <c r="P43" s="117">
        <v>4.3499999999999996</v>
      </c>
      <c r="Q43" s="8">
        <v>2400</v>
      </c>
      <c r="R43" s="13">
        <f t="shared" si="0"/>
        <v>2400</v>
      </c>
      <c r="S43" s="8"/>
      <c r="T43" s="17">
        <f t="shared" si="1"/>
        <v>2400</v>
      </c>
      <c r="U43" s="8"/>
      <c r="V43" s="109"/>
      <c r="W43" s="109"/>
      <c r="X43" s="109"/>
      <c r="Y43" s="109"/>
      <c r="Z43" s="109"/>
      <c r="AA43" s="109">
        <f>+SUM(Table1[[#This Row],[DIESEL]:[FIXED EXP]])</f>
        <v>0</v>
      </c>
      <c r="AB43" s="110">
        <f>+Table1[[#This Row],[TOTAL AMOUNT]]-Table1[[#This Row],[TOTAL COST]]</f>
        <v>2400</v>
      </c>
    </row>
    <row r="44" spans="1:28" x14ac:dyDescent="0.3">
      <c r="A44" s="114">
        <v>42</v>
      </c>
      <c r="B44" s="115">
        <v>46154</v>
      </c>
      <c r="C44" s="3">
        <f>SUBTOTAL(3,D$3:D44)</f>
        <v>42</v>
      </c>
      <c r="D44" s="24">
        <v>46154</v>
      </c>
      <c r="E44"/>
      <c r="F44"/>
      <c r="G44"/>
      <c r="H44" s="8" t="s">
        <v>10</v>
      </c>
      <c r="I44" t="s">
        <v>102</v>
      </c>
      <c r="J44" s="8"/>
      <c r="K44" s="8"/>
      <c r="L44" s="8"/>
      <c r="M44" s="8"/>
      <c r="N44" s="8"/>
      <c r="O44" s="118">
        <v>420</v>
      </c>
      <c r="P44" s="117">
        <v>4.5599999999999996</v>
      </c>
      <c r="Q44" s="8">
        <v>2400</v>
      </c>
      <c r="R44" s="13">
        <f t="shared" si="0"/>
        <v>2400</v>
      </c>
      <c r="S44" s="8"/>
      <c r="T44" s="17">
        <f t="shared" si="1"/>
        <v>2400</v>
      </c>
      <c r="U44" s="8"/>
      <c r="V44" s="109"/>
      <c r="W44" s="109"/>
      <c r="X44" s="109"/>
      <c r="Y44" s="109"/>
      <c r="Z44" s="109"/>
      <c r="AA44" s="109">
        <f>+SUM(Table1[[#This Row],[DIESEL]:[FIXED EXP]])</f>
        <v>0</v>
      </c>
      <c r="AB44" s="110">
        <f>+Table1[[#This Row],[TOTAL AMOUNT]]-Table1[[#This Row],[TOTAL COST]]</f>
        <v>2400</v>
      </c>
    </row>
    <row r="45" spans="1:28" x14ac:dyDescent="0.3">
      <c r="A45" s="114">
        <v>43</v>
      </c>
      <c r="B45" s="115">
        <v>46155</v>
      </c>
      <c r="C45" s="3">
        <f>SUBTOTAL(3,D$3:D45)</f>
        <v>43</v>
      </c>
      <c r="D45" s="24">
        <v>46155</v>
      </c>
      <c r="E45"/>
      <c r="F45"/>
      <c r="G45"/>
      <c r="H45" s="8" t="s">
        <v>10</v>
      </c>
      <c r="I45" t="s">
        <v>102</v>
      </c>
      <c r="J45" s="8"/>
      <c r="K45" s="8"/>
      <c r="L45" s="8"/>
      <c r="M45" s="8"/>
      <c r="N45" s="8"/>
      <c r="O45" s="118">
        <v>430</v>
      </c>
      <c r="P45" s="117">
        <v>5.13</v>
      </c>
      <c r="Q45" s="8">
        <v>2400</v>
      </c>
      <c r="R45" s="13">
        <f t="shared" si="0"/>
        <v>2400</v>
      </c>
      <c r="S45" s="8"/>
      <c r="T45" s="17">
        <f t="shared" si="1"/>
        <v>2400</v>
      </c>
      <c r="U45" s="8"/>
      <c r="V45" s="109"/>
      <c r="W45" s="109"/>
      <c r="X45" s="109"/>
      <c r="Y45" s="109"/>
      <c r="Z45" s="109"/>
      <c r="AA45" s="109">
        <f>+SUM(Table1[[#This Row],[DIESEL]:[FIXED EXP]])</f>
        <v>0</v>
      </c>
      <c r="AB45" s="110">
        <f>+Table1[[#This Row],[TOTAL AMOUNT]]-Table1[[#This Row],[TOTAL COST]]</f>
        <v>2400</v>
      </c>
    </row>
    <row r="46" spans="1:28" x14ac:dyDescent="0.3">
      <c r="A46" s="114">
        <v>44</v>
      </c>
      <c r="B46" s="115">
        <v>46156</v>
      </c>
      <c r="C46" s="3">
        <f>SUBTOTAL(3,D$3:D46)</f>
        <v>44</v>
      </c>
      <c r="D46" s="24">
        <v>46156</v>
      </c>
      <c r="E46"/>
      <c r="F46"/>
      <c r="G46"/>
      <c r="H46" s="8" t="s">
        <v>10</v>
      </c>
      <c r="I46" t="s">
        <v>102</v>
      </c>
      <c r="J46" s="8"/>
      <c r="K46" s="8"/>
      <c r="L46" s="8"/>
      <c r="M46" s="8"/>
      <c r="N46" s="8"/>
      <c r="O46" s="118">
        <v>440</v>
      </c>
      <c r="P46" s="117">
        <v>4.88</v>
      </c>
      <c r="Q46" s="8">
        <v>2400</v>
      </c>
      <c r="R46" s="13">
        <f t="shared" si="0"/>
        <v>2400</v>
      </c>
      <c r="S46" s="8"/>
      <c r="T46" s="17">
        <f t="shared" si="1"/>
        <v>2400</v>
      </c>
      <c r="U46" s="8"/>
      <c r="V46" s="109"/>
      <c r="W46" s="109"/>
      <c r="X46" s="109"/>
      <c r="Y46" s="109"/>
      <c r="Z46" s="109"/>
      <c r="AA46" s="109">
        <f>+SUM(Table1[[#This Row],[DIESEL]:[FIXED EXP]])</f>
        <v>0</v>
      </c>
      <c r="AB46" s="110">
        <f>+Table1[[#This Row],[TOTAL AMOUNT]]-Table1[[#This Row],[TOTAL COST]]</f>
        <v>2400</v>
      </c>
    </row>
    <row r="47" spans="1:28" x14ac:dyDescent="0.3">
      <c r="A47" s="114">
        <v>45</v>
      </c>
      <c r="B47" s="115">
        <v>46157</v>
      </c>
      <c r="C47" s="3">
        <f>SUBTOTAL(3,D$3:D47)</f>
        <v>45</v>
      </c>
      <c r="D47" s="24">
        <v>46157</v>
      </c>
      <c r="E47"/>
      <c r="F47"/>
      <c r="G47"/>
      <c r="H47" s="8" t="s">
        <v>10</v>
      </c>
      <c r="I47" t="s">
        <v>101</v>
      </c>
      <c r="J47" s="8"/>
      <c r="K47" s="8"/>
      <c r="L47" s="8"/>
      <c r="M47" s="8"/>
      <c r="N47" s="8"/>
      <c r="O47" s="118">
        <v>450</v>
      </c>
      <c r="P47" s="117">
        <v>8.9600000000000009</v>
      </c>
      <c r="Q47" s="8">
        <v>2350</v>
      </c>
      <c r="R47" s="13">
        <f t="shared" si="0"/>
        <v>2350</v>
      </c>
      <c r="S47" s="8"/>
      <c r="T47" s="17">
        <f t="shared" si="1"/>
        <v>2350</v>
      </c>
      <c r="U47" s="8"/>
      <c r="V47" s="109"/>
      <c r="W47" s="109"/>
      <c r="X47" s="109"/>
      <c r="Y47" s="109"/>
      <c r="Z47" s="109"/>
      <c r="AA47" s="109">
        <f>+SUM(Table1[[#This Row],[DIESEL]:[FIXED EXP]])</f>
        <v>0</v>
      </c>
      <c r="AB47" s="110">
        <f>+Table1[[#This Row],[TOTAL AMOUNT]]-Table1[[#This Row],[TOTAL COST]]</f>
        <v>2350</v>
      </c>
    </row>
    <row r="48" spans="1:28" x14ac:dyDescent="0.3">
      <c r="A48" s="114">
        <v>46</v>
      </c>
      <c r="B48" s="115">
        <v>46158</v>
      </c>
      <c r="C48" s="3">
        <f>SUBTOTAL(3,D$3:D48)</f>
        <v>46</v>
      </c>
      <c r="D48" s="24">
        <v>46158</v>
      </c>
      <c r="E48"/>
      <c r="F48"/>
      <c r="G48"/>
      <c r="H48" s="8" t="s">
        <v>10</v>
      </c>
      <c r="I48" t="s">
        <v>102</v>
      </c>
      <c r="J48" s="8"/>
      <c r="K48" s="8"/>
      <c r="L48" s="8"/>
      <c r="M48" s="8"/>
      <c r="N48" s="8"/>
      <c r="O48" s="118">
        <v>460</v>
      </c>
      <c r="P48" s="117">
        <v>5.03</v>
      </c>
      <c r="Q48" s="8">
        <v>2400</v>
      </c>
      <c r="R48" s="13">
        <f t="shared" si="0"/>
        <v>2400</v>
      </c>
      <c r="S48" s="8"/>
      <c r="T48" s="17">
        <f t="shared" si="1"/>
        <v>2400</v>
      </c>
      <c r="U48" s="8"/>
      <c r="V48" s="109"/>
      <c r="W48" s="109"/>
      <c r="X48" s="109"/>
      <c r="Y48" s="109"/>
      <c r="Z48" s="109"/>
      <c r="AA48" s="109">
        <f>+SUM(Table1[[#This Row],[DIESEL]:[FIXED EXP]])</f>
        <v>0</v>
      </c>
      <c r="AB48" s="110">
        <f>+Table1[[#This Row],[TOTAL AMOUNT]]-Table1[[#This Row],[TOTAL COST]]</f>
        <v>2400</v>
      </c>
    </row>
    <row r="49" spans="1:28" x14ac:dyDescent="0.3">
      <c r="A49" s="114">
        <v>47</v>
      </c>
      <c r="B49" s="115">
        <v>46159</v>
      </c>
      <c r="C49" s="3">
        <f>SUBTOTAL(3,D$3:D48)</f>
        <v>46</v>
      </c>
      <c r="D49" s="24">
        <v>46159</v>
      </c>
      <c r="E49"/>
      <c r="F49"/>
      <c r="G49"/>
      <c r="H49" s="8" t="s">
        <v>10</v>
      </c>
      <c r="I49" t="s">
        <v>102</v>
      </c>
      <c r="J49" s="8"/>
      <c r="K49" s="8"/>
      <c r="L49" s="8"/>
      <c r="M49" s="8"/>
      <c r="N49" s="8"/>
      <c r="O49" s="118">
        <v>470</v>
      </c>
      <c r="P49" s="117">
        <v>4.3899999999999997</v>
      </c>
      <c r="Q49" s="8">
        <v>2400</v>
      </c>
      <c r="R49" s="13">
        <f>+ROUND(IF(P48&gt;10,Q48/10*P48,Q48),0)</f>
        <v>2400</v>
      </c>
      <c r="S49" s="8"/>
      <c r="T49" s="17">
        <f>+R48+S48</f>
        <v>2400</v>
      </c>
      <c r="U49" s="8"/>
      <c r="V49" s="109"/>
      <c r="W49" s="109"/>
      <c r="X49" s="109"/>
      <c r="Y49" s="109"/>
      <c r="Z49" s="109"/>
      <c r="AA49" s="109">
        <f>+SUM(Table1[[#This Row],[DIESEL]:[FIXED EXP]])</f>
        <v>0</v>
      </c>
      <c r="AB49" s="110">
        <f>+Table1[[#This Row],[TOTAL AMOUNT]]-Table1[[#This Row],[TOTAL COST]]</f>
        <v>2400</v>
      </c>
    </row>
    <row r="50" spans="1:28" x14ac:dyDescent="0.3">
      <c r="A50" s="114">
        <v>48</v>
      </c>
      <c r="B50" s="115">
        <v>46160</v>
      </c>
      <c r="C50" s="3">
        <f>SUBTOTAL(3,D$3:D50)</f>
        <v>48</v>
      </c>
      <c r="D50" s="24">
        <v>46160</v>
      </c>
      <c r="E50"/>
      <c r="F50"/>
      <c r="G50"/>
      <c r="H50" s="8" t="s">
        <v>10</v>
      </c>
      <c r="I50" t="s">
        <v>102</v>
      </c>
      <c r="J50" s="8"/>
      <c r="K50" s="8"/>
      <c r="L50" s="8"/>
      <c r="M50" s="8"/>
      <c r="N50" s="8"/>
      <c r="O50" s="118">
        <v>480</v>
      </c>
      <c r="P50" s="117">
        <v>4.57</v>
      </c>
      <c r="Q50" s="8">
        <v>3200</v>
      </c>
      <c r="R50" s="13">
        <f t="shared" si="0"/>
        <v>3200</v>
      </c>
      <c r="S50" s="8"/>
      <c r="T50" s="17">
        <f t="shared" si="1"/>
        <v>3200</v>
      </c>
      <c r="U50" s="8"/>
      <c r="V50" s="109"/>
      <c r="W50" s="109"/>
      <c r="X50" s="109"/>
      <c r="Y50" s="109"/>
      <c r="Z50" s="109"/>
      <c r="AA50" s="109">
        <f>+SUM(Table1[[#This Row],[DIESEL]:[FIXED EXP]])</f>
        <v>0</v>
      </c>
      <c r="AB50" s="110">
        <f>+Table1[[#This Row],[TOTAL AMOUNT]]-Table1[[#This Row],[TOTAL COST]]</f>
        <v>3200</v>
      </c>
    </row>
    <row r="51" spans="1:28" x14ac:dyDescent="0.3">
      <c r="A51" s="114">
        <v>49</v>
      </c>
      <c r="B51" s="115">
        <v>46161</v>
      </c>
      <c r="C51" s="3">
        <f>SUBTOTAL(3,D$3:D51)</f>
        <v>49</v>
      </c>
      <c r="D51" s="24">
        <v>46161</v>
      </c>
      <c r="E51"/>
      <c r="F51"/>
      <c r="G51"/>
      <c r="H51" s="8" t="s">
        <v>10</v>
      </c>
      <c r="I51" t="s">
        <v>102</v>
      </c>
      <c r="J51" s="8"/>
      <c r="K51" s="8"/>
      <c r="L51" s="8"/>
      <c r="M51" s="8"/>
      <c r="N51" s="8"/>
      <c r="O51" s="118">
        <v>490</v>
      </c>
      <c r="P51" s="117">
        <v>4.57</v>
      </c>
      <c r="Q51" s="8">
        <v>2400</v>
      </c>
      <c r="R51" s="13">
        <f t="shared" si="0"/>
        <v>2400</v>
      </c>
      <c r="S51" s="8"/>
      <c r="T51" s="17">
        <f t="shared" si="1"/>
        <v>2400</v>
      </c>
      <c r="U51" s="8"/>
      <c r="V51" s="109"/>
      <c r="W51" s="109"/>
      <c r="X51" s="109"/>
      <c r="Y51" s="109"/>
      <c r="Z51" s="109"/>
      <c r="AA51" s="109">
        <f>+SUM(Table1[[#This Row],[DIESEL]:[FIXED EXP]])</f>
        <v>0</v>
      </c>
      <c r="AB51" s="110">
        <f>+Table1[[#This Row],[TOTAL AMOUNT]]-Table1[[#This Row],[TOTAL COST]]</f>
        <v>2400</v>
      </c>
    </row>
    <row r="52" spans="1:28" x14ac:dyDescent="0.3">
      <c r="A52" s="114">
        <v>50</v>
      </c>
      <c r="B52" s="115">
        <v>46162</v>
      </c>
      <c r="C52" s="3">
        <f>SUBTOTAL(3,D$3:D52)</f>
        <v>50</v>
      </c>
      <c r="D52" s="24">
        <v>46162</v>
      </c>
      <c r="E52"/>
      <c r="F52"/>
      <c r="G52"/>
      <c r="H52" s="8" t="s">
        <v>10</v>
      </c>
      <c r="I52" t="s">
        <v>102</v>
      </c>
      <c r="J52" s="8"/>
      <c r="K52" s="8"/>
      <c r="L52" s="8"/>
      <c r="M52" s="8"/>
      <c r="N52" s="8"/>
      <c r="O52" s="118">
        <v>500</v>
      </c>
      <c r="P52" s="117">
        <v>4.7699999999999996</v>
      </c>
      <c r="Q52" s="8">
        <v>2400</v>
      </c>
      <c r="R52" s="13">
        <f t="shared" si="0"/>
        <v>2400</v>
      </c>
      <c r="S52" s="8"/>
      <c r="T52" s="17">
        <f t="shared" si="1"/>
        <v>2400</v>
      </c>
      <c r="U52" s="8"/>
      <c r="V52" s="109"/>
      <c r="W52" s="109"/>
      <c r="X52" s="109"/>
      <c r="Y52" s="109"/>
      <c r="Z52" s="109"/>
      <c r="AA52" s="109">
        <f>+SUM(Table1[[#This Row],[DIESEL]:[FIXED EXP]])</f>
        <v>0</v>
      </c>
      <c r="AB52" s="110">
        <f>+Table1[[#This Row],[TOTAL AMOUNT]]-Table1[[#This Row],[TOTAL COST]]</f>
        <v>2400</v>
      </c>
    </row>
    <row r="53" spans="1:28" x14ac:dyDescent="0.3">
      <c r="A53" s="114">
        <v>51</v>
      </c>
      <c r="B53" s="115">
        <v>46163</v>
      </c>
      <c r="C53" s="3">
        <f>SUBTOTAL(3,D$3:D53)</f>
        <v>51</v>
      </c>
      <c r="D53" s="24">
        <v>46163</v>
      </c>
      <c r="E53"/>
      <c r="F53"/>
      <c r="G53"/>
      <c r="H53" s="8" t="s">
        <v>10</v>
      </c>
      <c r="I53" t="s">
        <v>101</v>
      </c>
      <c r="J53" s="8"/>
      <c r="K53" s="8"/>
      <c r="L53" s="8"/>
      <c r="M53" s="8"/>
      <c r="N53" s="8"/>
      <c r="O53" s="118">
        <v>510</v>
      </c>
      <c r="P53" s="117">
        <v>5.7350000000000003</v>
      </c>
      <c r="Q53" s="8">
        <v>2350</v>
      </c>
      <c r="R53" s="13">
        <f t="shared" si="0"/>
        <v>2350</v>
      </c>
      <c r="S53" s="8"/>
      <c r="T53" s="17">
        <f t="shared" si="1"/>
        <v>2350</v>
      </c>
      <c r="U53" s="8"/>
      <c r="V53" s="109"/>
      <c r="W53" s="109"/>
      <c r="X53" s="109"/>
      <c r="Y53" s="109"/>
      <c r="Z53" s="109"/>
      <c r="AA53" s="109">
        <f>+SUM(Table1[[#This Row],[DIESEL]:[FIXED EXP]])</f>
        <v>0</v>
      </c>
      <c r="AB53" s="110">
        <f>+Table1[[#This Row],[TOTAL AMOUNT]]-Table1[[#This Row],[TOTAL COST]]</f>
        <v>2350</v>
      </c>
    </row>
    <row r="54" spans="1:28" x14ac:dyDescent="0.3">
      <c r="A54" s="114">
        <v>52</v>
      </c>
      <c r="B54" s="115">
        <v>46164</v>
      </c>
      <c r="C54" s="3">
        <f>SUBTOTAL(3,D$3:D54)</f>
        <v>52</v>
      </c>
      <c r="D54" s="24">
        <v>46164</v>
      </c>
      <c r="E54"/>
      <c r="F54"/>
      <c r="G54"/>
      <c r="H54" s="8" t="s">
        <v>10</v>
      </c>
      <c r="I54" t="s">
        <v>102</v>
      </c>
      <c r="J54" s="8"/>
      <c r="K54" s="8"/>
      <c r="L54" s="8"/>
      <c r="M54" s="8"/>
      <c r="N54" s="8"/>
      <c r="O54" s="118">
        <v>520</v>
      </c>
      <c r="P54" s="117">
        <v>4.88</v>
      </c>
      <c r="Q54" s="8">
        <v>3200</v>
      </c>
      <c r="R54" s="13">
        <f t="shared" si="0"/>
        <v>3200</v>
      </c>
      <c r="S54" s="8"/>
      <c r="T54" s="17">
        <f t="shared" si="1"/>
        <v>3200</v>
      </c>
      <c r="U54" s="8"/>
      <c r="V54" s="109"/>
      <c r="W54" s="109"/>
      <c r="X54" s="109"/>
      <c r="Y54" s="109"/>
      <c r="Z54" s="109"/>
      <c r="AA54" s="109">
        <f>+SUM(Table1[[#This Row],[DIESEL]:[FIXED EXP]])</f>
        <v>0</v>
      </c>
      <c r="AB54" s="110">
        <f>+Table1[[#This Row],[TOTAL AMOUNT]]-Table1[[#This Row],[TOTAL COST]]</f>
        <v>3200</v>
      </c>
    </row>
    <row r="55" spans="1:28" x14ac:dyDescent="0.3">
      <c r="A55" s="114">
        <v>53</v>
      </c>
      <c r="B55" s="115">
        <v>46165</v>
      </c>
      <c r="C55" s="3">
        <f>SUBTOTAL(3,D$3:D55)</f>
        <v>53</v>
      </c>
      <c r="D55" s="24">
        <v>46165</v>
      </c>
      <c r="E55"/>
      <c r="F55"/>
      <c r="G55"/>
      <c r="H55" s="8" t="s">
        <v>10</v>
      </c>
      <c r="I55" t="s">
        <v>102</v>
      </c>
      <c r="J55" s="8"/>
      <c r="K55" s="8"/>
      <c r="L55" s="8"/>
      <c r="M55" s="8"/>
      <c r="N55" s="8"/>
      <c r="O55" s="118">
        <v>530</v>
      </c>
      <c r="P55" s="117">
        <v>4.87</v>
      </c>
      <c r="Q55" s="8">
        <v>3200</v>
      </c>
      <c r="R55" s="13">
        <f t="shared" si="0"/>
        <v>3200</v>
      </c>
      <c r="S55" s="8"/>
      <c r="T55" s="17">
        <f t="shared" si="1"/>
        <v>3200</v>
      </c>
      <c r="U55" s="8"/>
      <c r="V55" s="109"/>
      <c r="W55" s="109"/>
      <c r="X55" s="109"/>
      <c r="Y55" s="109"/>
      <c r="Z55" s="109"/>
      <c r="AA55" s="109">
        <f>+SUM(Table1[[#This Row],[DIESEL]:[FIXED EXP]])</f>
        <v>0</v>
      </c>
      <c r="AB55" s="110">
        <f>+Table1[[#This Row],[TOTAL AMOUNT]]-Table1[[#This Row],[TOTAL COST]]</f>
        <v>3200</v>
      </c>
    </row>
    <row r="56" spans="1:28" x14ac:dyDescent="0.3">
      <c r="A56" s="114">
        <v>54</v>
      </c>
      <c r="B56" s="115">
        <v>46166</v>
      </c>
      <c r="C56" s="3">
        <f>SUBTOTAL(3,D$3:D56)</f>
        <v>54</v>
      </c>
      <c r="D56" s="24">
        <v>46166</v>
      </c>
      <c r="E56"/>
      <c r="F56"/>
      <c r="G56"/>
      <c r="H56" s="8" t="s">
        <v>10</v>
      </c>
      <c r="I56" t="s">
        <v>101</v>
      </c>
      <c r="J56" s="8"/>
      <c r="K56" s="8"/>
      <c r="L56" s="8"/>
      <c r="M56" s="8"/>
      <c r="N56" s="8"/>
      <c r="O56" s="118">
        <v>540</v>
      </c>
      <c r="P56" s="117">
        <v>6.76</v>
      </c>
      <c r="Q56" s="8">
        <v>2350</v>
      </c>
      <c r="R56" s="13">
        <f t="shared" si="0"/>
        <v>2350</v>
      </c>
      <c r="S56" s="8"/>
      <c r="T56" s="17">
        <f t="shared" si="1"/>
        <v>2350</v>
      </c>
      <c r="U56" s="8"/>
      <c r="V56" s="109"/>
      <c r="W56" s="109"/>
      <c r="X56" s="109"/>
      <c r="Y56" s="109"/>
      <c r="Z56" s="109"/>
      <c r="AA56" s="109">
        <f>+SUM(Table1[[#This Row],[DIESEL]:[FIXED EXP]])</f>
        <v>0</v>
      </c>
      <c r="AB56" s="110">
        <f>+Table1[[#This Row],[TOTAL AMOUNT]]-Table1[[#This Row],[TOTAL COST]]</f>
        <v>2350</v>
      </c>
    </row>
    <row r="57" spans="1:28" x14ac:dyDescent="0.3">
      <c r="A57" s="114">
        <v>55</v>
      </c>
      <c r="B57" s="115">
        <v>46167</v>
      </c>
      <c r="C57" s="3">
        <f>SUBTOTAL(3,D$3:D57)</f>
        <v>55</v>
      </c>
      <c r="D57" s="24">
        <v>46167</v>
      </c>
      <c r="E57"/>
      <c r="F57"/>
      <c r="G57"/>
      <c r="H57" s="8" t="s">
        <v>10</v>
      </c>
      <c r="I57" t="s">
        <v>102</v>
      </c>
      <c r="J57" s="8"/>
      <c r="K57" s="8"/>
      <c r="L57" s="8"/>
      <c r="M57" s="8"/>
      <c r="N57" s="8"/>
      <c r="O57" s="118">
        <v>550</v>
      </c>
      <c r="P57" s="117">
        <v>4.96</v>
      </c>
      <c r="Q57" s="8">
        <v>2400</v>
      </c>
      <c r="R57" s="13">
        <f t="shared" si="0"/>
        <v>2400</v>
      </c>
      <c r="S57" s="8"/>
      <c r="T57" s="17">
        <f t="shared" si="1"/>
        <v>2400</v>
      </c>
      <c r="U57" s="8"/>
      <c r="V57" s="109"/>
      <c r="W57" s="109"/>
      <c r="X57" s="109"/>
      <c r="Y57" s="109"/>
      <c r="Z57" s="109"/>
      <c r="AA57" s="109">
        <f>+SUM(Table1[[#This Row],[DIESEL]:[FIXED EXP]])</f>
        <v>0</v>
      </c>
      <c r="AB57" s="110">
        <f>+Table1[[#This Row],[TOTAL AMOUNT]]-Table1[[#This Row],[TOTAL COST]]</f>
        <v>2400</v>
      </c>
    </row>
    <row r="58" spans="1:28" x14ac:dyDescent="0.3">
      <c r="A58" s="114">
        <v>56</v>
      </c>
      <c r="B58" s="115">
        <v>46168</v>
      </c>
      <c r="C58" s="3">
        <f>SUBTOTAL(3,D$3:D58)</f>
        <v>56</v>
      </c>
      <c r="D58" s="24">
        <v>46168</v>
      </c>
      <c r="E58"/>
      <c r="F58"/>
      <c r="G58"/>
      <c r="H58" s="8" t="s">
        <v>10</v>
      </c>
      <c r="I58" t="s">
        <v>102</v>
      </c>
      <c r="J58" s="8"/>
      <c r="K58" s="8"/>
      <c r="L58" s="8"/>
      <c r="M58" s="8"/>
      <c r="N58" s="8"/>
      <c r="O58" s="118">
        <v>560</v>
      </c>
      <c r="P58" s="117">
        <v>4.54</v>
      </c>
      <c r="Q58" s="8">
        <v>2400</v>
      </c>
      <c r="R58" s="13">
        <f t="shared" si="0"/>
        <v>2400</v>
      </c>
      <c r="S58" s="8"/>
      <c r="T58" s="17">
        <f t="shared" si="1"/>
        <v>2400</v>
      </c>
      <c r="U58" s="8"/>
      <c r="V58" s="109"/>
      <c r="W58" s="109"/>
      <c r="X58" s="109"/>
      <c r="Y58" s="109"/>
      <c r="Z58" s="109"/>
      <c r="AA58" s="109">
        <f>+SUM(Table1[[#This Row],[DIESEL]:[FIXED EXP]])</f>
        <v>0</v>
      </c>
      <c r="AB58" s="110">
        <f>+Table1[[#This Row],[TOTAL AMOUNT]]-Table1[[#This Row],[TOTAL COST]]</f>
        <v>2400</v>
      </c>
    </row>
    <row r="59" spans="1:28" x14ac:dyDescent="0.3">
      <c r="A59" s="114">
        <v>57</v>
      </c>
      <c r="B59" s="115">
        <v>46169</v>
      </c>
      <c r="C59" s="3">
        <f>SUBTOTAL(3,D$3:D59)</f>
        <v>57</v>
      </c>
      <c r="D59" s="24">
        <v>46169</v>
      </c>
      <c r="E59"/>
      <c r="F59"/>
      <c r="G59"/>
      <c r="H59" s="8" t="s">
        <v>10</v>
      </c>
      <c r="I59" t="s">
        <v>102</v>
      </c>
      <c r="J59" s="8"/>
      <c r="K59" s="8"/>
      <c r="L59" s="8"/>
      <c r="M59" s="8"/>
      <c r="N59" s="8"/>
      <c r="O59" s="118">
        <v>570</v>
      </c>
      <c r="P59" s="117">
        <v>4.8899999999999997</v>
      </c>
      <c r="Q59" s="8">
        <v>3200</v>
      </c>
      <c r="R59" s="13">
        <f t="shared" si="0"/>
        <v>3200</v>
      </c>
      <c r="S59" s="8"/>
      <c r="T59" s="17">
        <f t="shared" si="1"/>
        <v>3200</v>
      </c>
      <c r="U59" s="8"/>
      <c r="V59" s="109"/>
      <c r="W59" s="109"/>
      <c r="X59" s="109"/>
      <c r="Y59" s="109"/>
      <c r="Z59" s="109"/>
      <c r="AA59" s="109">
        <f>+SUM(Table1[[#This Row],[DIESEL]:[FIXED EXP]])</f>
        <v>0</v>
      </c>
      <c r="AB59" s="110">
        <f>+Table1[[#This Row],[TOTAL AMOUNT]]-Table1[[#This Row],[TOTAL COST]]</f>
        <v>3200</v>
      </c>
    </row>
    <row r="60" spans="1:28" x14ac:dyDescent="0.3">
      <c r="A60" s="114">
        <v>58</v>
      </c>
      <c r="B60" s="115">
        <v>46170</v>
      </c>
      <c r="C60" s="3">
        <f>SUBTOTAL(3,D$3:D60)</f>
        <v>58</v>
      </c>
      <c r="D60" s="24">
        <v>46170</v>
      </c>
      <c r="E60"/>
      <c r="F60"/>
      <c r="G60"/>
      <c r="H60" s="8" t="s">
        <v>10</v>
      </c>
      <c r="I60" t="s">
        <v>102</v>
      </c>
      <c r="J60" s="8"/>
      <c r="K60" s="8"/>
      <c r="L60" s="8"/>
      <c r="M60" s="8"/>
      <c r="N60" s="8"/>
      <c r="O60" s="118">
        <v>580</v>
      </c>
      <c r="P60" s="117">
        <v>5.0599999999999996</v>
      </c>
      <c r="Q60" s="8">
        <v>3200</v>
      </c>
      <c r="R60" s="13">
        <f t="shared" si="0"/>
        <v>3200</v>
      </c>
      <c r="S60" s="8"/>
      <c r="T60" s="17">
        <f t="shared" si="1"/>
        <v>3200</v>
      </c>
      <c r="U60" s="8"/>
      <c r="V60" s="109"/>
      <c r="W60" s="109"/>
      <c r="X60" s="109"/>
      <c r="Y60" s="109"/>
      <c r="Z60" s="109"/>
      <c r="AA60" s="109">
        <f>+SUM(Table1[[#This Row],[DIESEL]:[FIXED EXP]])</f>
        <v>0</v>
      </c>
      <c r="AB60" s="110">
        <f>+Table1[[#This Row],[TOTAL AMOUNT]]-Table1[[#This Row],[TOTAL COST]]</f>
        <v>3200</v>
      </c>
    </row>
    <row r="61" spans="1:28" x14ac:dyDescent="0.3">
      <c r="A61" s="114"/>
      <c r="B61" s="116"/>
      <c r="C61" s="3">
        <f>SUBTOTAL(3,D$3:D61)</f>
        <v>58</v>
      </c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3"/>
      <c r="P61" s="9"/>
      <c r="Q61" s="8"/>
      <c r="R61" s="8"/>
      <c r="S61" s="8"/>
      <c r="T61" s="8"/>
      <c r="U61" s="8"/>
      <c r="V61" s="109"/>
      <c r="W61" s="109"/>
      <c r="X61" s="109"/>
      <c r="Y61" s="109"/>
      <c r="Z61" s="109"/>
      <c r="AA61" s="109">
        <f>+SUM(Table1[[#This Row],[DIESEL]:[FIXED EXP]])</f>
        <v>0</v>
      </c>
      <c r="AB61" s="110">
        <f>+Table1[[#This Row],[TOTAL AMOUNT]]-Table1[[#This Row],[TOTAL COST]]</f>
        <v>0</v>
      </c>
    </row>
    <row r="62" spans="1:28" x14ac:dyDescent="0.3">
      <c r="A62" s="114"/>
      <c r="B62" s="116"/>
      <c r="C62" s="3">
        <f>SUBTOTAL(3,D$3:D62)</f>
        <v>58</v>
      </c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3"/>
      <c r="P62" s="9"/>
      <c r="Q62" s="8"/>
      <c r="R62" s="8"/>
      <c r="S62" s="8"/>
      <c r="T62" s="8"/>
      <c r="U62" s="8"/>
      <c r="V62" s="109"/>
      <c r="W62" s="109"/>
      <c r="X62" s="109"/>
      <c r="Y62" s="109"/>
      <c r="Z62" s="109"/>
      <c r="AA62" s="109">
        <f>+SUM(Table1[[#This Row],[DIESEL]:[FIXED EXP]])</f>
        <v>0</v>
      </c>
      <c r="AB62" s="110">
        <f>+Table1[[#This Row],[TOTAL AMOUNT]]-Table1[[#This Row],[TOTAL COST]]</f>
        <v>0</v>
      </c>
    </row>
    <row r="63" spans="1:28" x14ac:dyDescent="0.3">
      <c r="A63" s="114"/>
      <c r="B63" s="116"/>
      <c r="C63" s="3">
        <f>SUBTOTAL(3,D$3:D63)</f>
        <v>58</v>
      </c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3"/>
      <c r="P63" s="9"/>
      <c r="Q63" s="8"/>
      <c r="R63" s="8"/>
      <c r="S63" s="8"/>
      <c r="T63" s="8"/>
      <c r="U63" s="8"/>
      <c r="V63" s="109"/>
      <c r="W63" s="109"/>
      <c r="X63" s="109"/>
      <c r="Y63" s="109"/>
      <c r="Z63" s="109"/>
      <c r="AA63" s="109">
        <f>+SUM(Table1[[#This Row],[DIESEL]:[FIXED EXP]])</f>
        <v>0</v>
      </c>
      <c r="AB63" s="110">
        <f>+Table1[[#This Row],[TOTAL AMOUNT]]-Table1[[#This Row],[TOTAL COST]]</f>
        <v>0</v>
      </c>
    </row>
    <row r="64" spans="1:28" x14ac:dyDescent="0.3">
      <c r="A64" s="114"/>
      <c r="B64" s="116"/>
      <c r="C64" s="3">
        <f>SUBTOTAL(3,D$3:D64)</f>
        <v>58</v>
      </c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3"/>
      <c r="P64" s="9"/>
      <c r="Q64" s="8"/>
      <c r="R64" s="8"/>
      <c r="S64" s="8"/>
      <c r="T64" s="8"/>
      <c r="U64" s="8"/>
      <c r="V64" s="109"/>
      <c r="W64" s="109"/>
      <c r="X64" s="109"/>
      <c r="Y64" s="109"/>
      <c r="Z64" s="109"/>
      <c r="AA64" s="109">
        <f>+SUM(Table1[[#This Row],[DIESEL]:[FIXED EXP]])</f>
        <v>0</v>
      </c>
      <c r="AB64" s="110">
        <f>+Table1[[#This Row],[TOTAL AMOUNT]]-Table1[[#This Row],[TOTAL COST]]</f>
        <v>0</v>
      </c>
    </row>
    <row r="65" spans="1:28" x14ac:dyDescent="0.3">
      <c r="A65" s="114"/>
      <c r="B65" s="116"/>
      <c r="C65" s="3">
        <f>SUBTOTAL(3,D$3:D65)</f>
        <v>58</v>
      </c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3"/>
      <c r="P65" s="9"/>
      <c r="Q65" s="8"/>
      <c r="R65" s="8"/>
      <c r="S65" s="8"/>
      <c r="T65" s="8"/>
      <c r="U65" s="8"/>
      <c r="V65" s="109"/>
      <c r="W65" s="109"/>
      <c r="X65" s="109"/>
      <c r="Y65" s="109"/>
      <c r="Z65" s="109"/>
      <c r="AA65" s="109">
        <f>+SUM(Table1[[#This Row],[DIESEL]:[FIXED EXP]])</f>
        <v>0</v>
      </c>
      <c r="AB65" s="110">
        <f>+Table1[[#This Row],[TOTAL AMOUNT]]-Table1[[#This Row],[TOTAL COST]]</f>
        <v>0</v>
      </c>
    </row>
    <row r="66" spans="1:28" x14ac:dyDescent="0.3">
      <c r="A66" s="114"/>
      <c r="B66" s="116"/>
      <c r="C66" s="3">
        <f>SUBTOTAL(3,D$3:D66)</f>
        <v>58</v>
      </c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3"/>
      <c r="P66" s="9"/>
      <c r="Q66" s="8"/>
      <c r="R66" s="8"/>
      <c r="S66" s="8"/>
      <c r="T66" s="8"/>
      <c r="U66" s="8"/>
      <c r="V66" s="109"/>
      <c r="W66" s="109"/>
      <c r="X66" s="109"/>
      <c r="Y66" s="109"/>
      <c r="Z66" s="109"/>
      <c r="AA66" s="109">
        <f>+SUM(Table1[[#This Row],[DIESEL]:[FIXED EXP]])</f>
        <v>0</v>
      </c>
      <c r="AB66" s="110">
        <f>+Table1[[#This Row],[TOTAL AMOUNT]]-Table1[[#This Row],[TOTAL COST]]</f>
        <v>0</v>
      </c>
    </row>
    <row r="67" spans="1:28" x14ac:dyDescent="0.3">
      <c r="A67" s="114"/>
      <c r="B67" s="116"/>
      <c r="C67" s="3">
        <f>SUBTOTAL(3,D$3:D67)</f>
        <v>58</v>
      </c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3"/>
      <c r="P67" s="9"/>
      <c r="Q67" s="8"/>
      <c r="R67" s="8"/>
      <c r="S67" s="8"/>
      <c r="T67" s="8"/>
      <c r="U67" s="8"/>
      <c r="V67" s="109"/>
      <c r="W67" s="109"/>
      <c r="X67" s="109"/>
      <c r="Y67" s="109"/>
      <c r="Z67" s="109"/>
      <c r="AA67" s="109">
        <f>+SUM(Table1[[#This Row],[DIESEL]:[FIXED EXP]])</f>
        <v>0</v>
      </c>
      <c r="AB67" s="110">
        <f>+Table1[[#This Row],[TOTAL AMOUNT]]-Table1[[#This Row],[TOTAL COST]]</f>
        <v>0</v>
      </c>
    </row>
    <row r="68" spans="1:28" x14ac:dyDescent="0.3">
      <c r="A68" s="114"/>
      <c r="B68" s="116"/>
      <c r="C68" s="3">
        <f>SUBTOTAL(3,D$3:D68)</f>
        <v>58</v>
      </c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3"/>
      <c r="P68" s="9"/>
      <c r="Q68" s="8"/>
      <c r="R68" s="8"/>
      <c r="S68" s="8"/>
      <c r="T68" s="8"/>
      <c r="U68" s="8"/>
      <c r="V68" s="109"/>
      <c r="W68" s="109"/>
      <c r="X68" s="109"/>
      <c r="Y68" s="109"/>
      <c r="Z68" s="109"/>
      <c r="AA68" s="109">
        <f>+SUM(Table1[[#This Row],[DIESEL]:[FIXED EXP]])</f>
        <v>0</v>
      </c>
      <c r="AB68" s="110">
        <f>+Table1[[#This Row],[TOTAL AMOUNT]]-Table1[[#This Row],[TOTAL COST]]</f>
        <v>0</v>
      </c>
    </row>
    <row r="69" spans="1:28" x14ac:dyDescent="0.3">
      <c r="A69" s="114"/>
      <c r="B69" s="116"/>
      <c r="C69" s="3">
        <f>SUBTOTAL(3,D$3:D69)</f>
        <v>58</v>
      </c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3"/>
      <c r="P69" s="9"/>
      <c r="Q69" s="8"/>
      <c r="R69" s="8"/>
      <c r="S69" s="8"/>
      <c r="T69" s="8"/>
      <c r="U69" s="8"/>
      <c r="V69" s="109"/>
      <c r="W69" s="109"/>
      <c r="X69" s="109"/>
      <c r="Y69" s="109"/>
      <c r="Z69" s="109"/>
      <c r="AA69" s="109">
        <f>+SUM(Table1[[#This Row],[DIESEL]:[FIXED EXP]])</f>
        <v>0</v>
      </c>
      <c r="AB69" s="110">
        <f>+Table1[[#This Row],[TOTAL AMOUNT]]-Table1[[#This Row],[TOTAL COST]]</f>
        <v>0</v>
      </c>
    </row>
    <row r="70" spans="1:28" x14ac:dyDescent="0.3">
      <c r="A70" s="114"/>
      <c r="B70" s="116"/>
      <c r="C70" s="3">
        <f>SUBTOTAL(3,D$3:D70)</f>
        <v>58</v>
      </c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3"/>
      <c r="P70" s="9"/>
      <c r="Q70" s="8"/>
      <c r="R70" s="8"/>
      <c r="S70" s="8"/>
      <c r="T70" s="8"/>
      <c r="U70" s="8"/>
      <c r="V70" s="109"/>
      <c r="W70" s="109"/>
      <c r="X70" s="109"/>
      <c r="Y70" s="109"/>
      <c r="Z70" s="109"/>
      <c r="AA70" s="109">
        <f>+SUM(Table1[[#This Row],[DIESEL]:[FIXED EXP]])</f>
        <v>0</v>
      </c>
      <c r="AB70" s="110">
        <f>+Table1[[#This Row],[TOTAL AMOUNT]]-Table1[[#This Row],[TOTAL COST]]</f>
        <v>0</v>
      </c>
    </row>
    <row r="71" spans="1:28" x14ac:dyDescent="0.3">
      <c r="A71" s="114"/>
      <c r="B71" s="116"/>
      <c r="C71" s="3">
        <f>SUBTOTAL(3,D$3:D71)</f>
        <v>58</v>
      </c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3"/>
      <c r="P71" s="9"/>
      <c r="Q71" s="8"/>
      <c r="R71" s="8"/>
      <c r="S71" s="8"/>
      <c r="T71" s="8"/>
      <c r="U71" s="8"/>
      <c r="V71" s="109"/>
      <c r="W71" s="109"/>
      <c r="X71" s="109"/>
      <c r="Y71" s="109"/>
      <c r="Z71" s="109"/>
      <c r="AA71" s="109">
        <f>+SUM(Table1[[#This Row],[DIESEL]:[FIXED EXP]])</f>
        <v>0</v>
      </c>
      <c r="AB71" s="110">
        <f>+Table1[[#This Row],[TOTAL AMOUNT]]-Table1[[#This Row],[TOTAL COST]]</f>
        <v>0</v>
      </c>
    </row>
    <row r="72" spans="1:28" x14ac:dyDescent="0.3">
      <c r="A72" s="114"/>
      <c r="B72" s="116"/>
      <c r="C72" s="3">
        <f>SUBTOTAL(3,D$3:D72)</f>
        <v>58</v>
      </c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3"/>
      <c r="P72" s="9"/>
      <c r="Q72" s="8"/>
      <c r="R72" s="8"/>
      <c r="S72" s="8"/>
      <c r="T72" s="8"/>
      <c r="U72" s="8"/>
      <c r="V72" s="109"/>
      <c r="W72" s="109"/>
      <c r="X72" s="109"/>
      <c r="Y72" s="109"/>
      <c r="Z72" s="109"/>
      <c r="AA72" s="109">
        <f>+SUM(Table1[[#This Row],[DIESEL]:[FIXED EXP]])</f>
        <v>0</v>
      </c>
      <c r="AB72" s="110">
        <f>+Table1[[#This Row],[TOTAL AMOUNT]]-Table1[[#This Row],[TOTAL COST]]</f>
        <v>0</v>
      </c>
    </row>
    <row r="73" spans="1:28" x14ac:dyDescent="0.3">
      <c r="A73" s="114"/>
      <c r="B73" s="116"/>
      <c r="C73" s="3">
        <f>SUBTOTAL(3,D$3:D73)</f>
        <v>58</v>
      </c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3"/>
      <c r="P73" s="9"/>
      <c r="Q73" s="8"/>
      <c r="R73" s="8"/>
      <c r="S73" s="8"/>
      <c r="T73" s="8"/>
      <c r="U73" s="8"/>
      <c r="V73" s="109"/>
      <c r="W73" s="109"/>
      <c r="X73" s="109"/>
      <c r="Y73" s="109"/>
      <c r="Z73" s="109"/>
      <c r="AA73" s="109">
        <f>+SUM(Table1[[#This Row],[DIESEL]:[FIXED EXP]])</f>
        <v>0</v>
      </c>
      <c r="AB73" s="110">
        <f>+Table1[[#This Row],[TOTAL AMOUNT]]-Table1[[#This Row],[TOTAL COST]]</f>
        <v>0</v>
      </c>
    </row>
    <row r="74" spans="1:28" x14ac:dyDescent="0.3">
      <c r="A74" s="114"/>
      <c r="B74" s="116"/>
      <c r="C74" s="3">
        <f>SUBTOTAL(3,D$3:D74)</f>
        <v>58</v>
      </c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3"/>
      <c r="P74" s="9"/>
      <c r="Q74" s="8"/>
      <c r="R74" s="8"/>
      <c r="S74" s="8"/>
      <c r="T74" s="8"/>
      <c r="U74" s="8"/>
      <c r="V74" s="109"/>
      <c r="W74" s="109"/>
      <c r="X74" s="109"/>
      <c r="Y74" s="109"/>
      <c r="Z74" s="109"/>
      <c r="AA74" s="109">
        <f>+SUM(Table1[[#This Row],[DIESEL]:[FIXED EXP]])</f>
        <v>0</v>
      </c>
      <c r="AB74" s="110">
        <f>+Table1[[#This Row],[TOTAL AMOUNT]]-Table1[[#This Row],[TOTAL COST]]</f>
        <v>0</v>
      </c>
    </row>
    <row r="75" spans="1:28" x14ac:dyDescent="0.3">
      <c r="A75" s="114"/>
      <c r="B75" s="116"/>
      <c r="C75" s="3">
        <f>SUBTOTAL(3,D$3:D75)</f>
        <v>58</v>
      </c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3"/>
      <c r="P75" s="9"/>
      <c r="Q75" s="8"/>
      <c r="R75" s="8"/>
      <c r="S75" s="8"/>
      <c r="T75" s="8"/>
      <c r="U75" s="8"/>
      <c r="V75" s="109"/>
      <c r="W75" s="109"/>
      <c r="X75" s="109"/>
      <c r="Y75" s="109"/>
      <c r="Z75" s="109"/>
      <c r="AA75" s="109">
        <f>+SUM(Table1[[#This Row],[DIESEL]:[FIXED EXP]])</f>
        <v>0</v>
      </c>
      <c r="AB75" s="110">
        <f>+Table1[[#This Row],[TOTAL AMOUNT]]-Table1[[#This Row],[TOTAL COST]]</f>
        <v>0</v>
      </c>
    </row>
    <row r="76" spans="1:28" x14ac:dyDescent="0.3">
      <c r="A76" s="114"/>
      <c r="B76" s="116"/>
      <c r="C76" s="3">
        <f>SUBTOTAL(3,D$3:D76)</f>
        <v>58</v>
      </c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3"/>
      <c r="P76" s="9"/>
      <c r="Q76" s="8"/>
      <c r="R76" s="8"/>
      <c r="S76" s="8"/>
      <c r="T76" s="8"/>
      <c r="U76" s="8"/>
      <c r="V76" s="109"/>
      <c r="W76" s="109"/>
      <c r="X76" s="109"/>
      <c r="Y76" s="109"/>
      <c r="Z76" s="109"/>
      <c r="AA76" s="109">
        <f>+SUM(Table1[[#This Row],[DIESEL]:[FIXED EXP]])</f>
        <v>0</v>
      </c>
      <c r="AB76" s="110">
        <f>+Table1[[#This Row],[TOTAL AMOUNT]]-Table1[[#This Row],[TOTAL COST]]</f>
        <v>0</v>
      </c>
    </row>
    <row r="77" spans="1:28" x14ac:dyDescent="0.3">
      <c r="A77" s="114"/>
      <c r="B77" s="116"/>
      <c r="C77" s="3">
        <f>SUBTOTAL(3,D$3:D77)</f>
        <v>58</v>
      </c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3"/>
      <c r="P77" s="9"/>
      <c r="Q77" s="8"/>
      <c r="R77" s="8"/>
      <c r="S77" s="8"/>
      <c r="T77" s="8"/>
      <c r="U77" s="8"/>
      <c r="V77" s="109"/>
      <c r="W77" s="109"/>
      <c r="X77" s="109"/>
      <c r="Y77" s="109"/>
      <c r="Z77" s="109"/>
      <c r="AA77" s="109">
        <f>+SUM(Table1[[#This Row],[DIESEL]:[FIXED EXP]])</f>
        <v>0</v>
      </c>
      <c r="AB77" s="110">
        <f>+Table1[[#This Row],[TOTAL AMOUNT]]-Table1[[#This Row],[TOTAL COST]]</f>
        <v>0</v>
      </c>
    </row>
    <row r="78" spans="1:28" x14ac:dyDescent="0.3">
      <c r="A78" s="114"/>
      <c r="B78" s="116"/>
      <c r="C78" s="3">
        <f>SUBTOTAL(3,D$3:D78)</f>
        <v>58</v>
      </c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3"/>
      <c r="P78" s="9"/>
      <c r="Q78" s="8"/>
      <c r="R78" s="8"/>
      <c r="S78" s="8"/>
      <c r="T78" s="8"/>
      <c r="U78" s="8"/>
      <c r="V78" s="109"/>
      <c r="W78" s="109"/>
      <c r="X78" s="109"/>
      <c r="Y78" s="109"/>
      <c r="Z78" s="109"/>
      <c r="AA78" s="109">
        <f>+SUM(Table1[[#This Row],[DIESEL]:[FIXED EXP]])</f>
        <v>0</v>
      </c>
      <c r="AB78" s="110">
        <f>+Table1[[#This Row],[TOTAL AMOUNT]]-Table1[[#This Row],[TOTAL COST]]</f>
        <v>0</v>
      </c>
    </row>
    <row r="79" spans="1:28" x14ac:dyDescent="0.3">
      <c r="A79" s="114"/>
      <c r="B79" s="116"/>
      <c r="C79" s="3">
        <f>SUBTOTAL(3,D$3:D79)</f>
        <v>58</v>
      </c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3"/>
      <c r="P79" s="9"/>
      <c r="Q79" s="8"/>
      <c r="R79" s="8"/>
      <c r="S79" s="8"/>
      <c r="T79" s="8"/>
      <c r="U79" s="8"/>
      <c r="V79" s="109"/>
      <c r="W79" s="109"/>
      <c r="X79" s="109"/>
      <c r="Y79" s="109"/>
      <c r="Z79" s="109"/>
      <c r="AA79" s="109">
        <f>+SUM(Table1[[#This Row],[DIESEL]:[FIXED EXP]])</f>
        <v>0</v>
      </c>
      <c r="AB79" s="110">
        <f>+Table1[[#This Row],[TOTAL AMOUNT]]-Table1[[#This Row],[TOTAL COST]]</f>
        <v>0</v>
      </c>
    </row>
    <row r="80" spans="1:28" x14ac:dyDescent="0.3">
      <c r="A80" s="114"/>
      <c r="B80" s="116"/>
      <c r="C80" s="3">
        <f>SUBTOTAL(3,D$3:D80)</f>
        <v>58</v>
      </c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3"/>
      <c r="P80" s="9"/>
      <c r="Q80" s="8"/>
      <c r="R80" s="8"/>
      <c r="S80" s="8"/>
      <c r="T80" s="8"/>
      <c r="U80" s="8"/>
      <c r="V80" s="109"/>
      <c r="W80" s="109"/>
      <c r="X80" s="109"/>
      <c r="Y80" s="109"/>
      <c r="Z80" s="109"/>
      <c r="AA80" s="109">
        <f>+SUM(Table1[[#This Row],[DIESEL]:[FIXED EXP]])</f>
        <v>0</v>
      </c>
      <c r="AB80" s="110">
        <f>+Table1[[#This Row],[TOTAL AMOUNT]]-Table1[[#This Row],[TOTAL COST]]</f>
        <v>0</v>
      </c>
    </row>
    <row r="81" spans="1:28" x14ac:dyDescent="0.3">
      <c r="A81" s="114"/>
      <c r="B81" s="116"/>
      <c r="C81" s="3">
        <f>SUBTOTAL(3,D$3:D81)</f>
        <v>58</v>
      </c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3"/>
      <c r="P81" s="9"/>
      <c r="Q81" s="8"/>
      <c r="R81" s="8"/>
      <c r="S81" s="8"/>
      <c r="T81" s="8"/>
      <c r="U81" s="8"/>
      <c r="V81" s="109"/>
      <c r="W81" s="109"/>
      <c r="X81" s="109"/>
      <c r="Y81" s="109"/>
      <c r="Z81" s="109"/>
      <c r="AA81" s="109">
        <f>+SUM(Table1[[#This Row],[DIESEL]:[FIXED EXP]])</f>
        <v>0</v>
      </c>
      <c r="AB81" s="110">
        <f>+Table1[[#This Row],[TOTAL AMOUNT]]-Table1[[#This Row],[TOTAL COST]]</f>
        <v>0</v>
      </c>
    </row>
    <row r="82" spans="1:28" x14ac:dyDescent="0.3">
      <c r="A82" s="114"/>
      <c r="B82" s="116"/>
      <c r="C82" s="3">
        <f>SUBTOTAL(3,D$3:D82)</f>
        <v>58</v>
      </c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3"/>
      <c r="P82" s="9"/>
      <c r="Q82" s="8"/>
      <c r="R82" s="8"/>
      <c r="S82" s="8"/>
      <c r="T82" s="8"/>
      <c r="U82" s="8"/>
      <c r="V82" s="109"/>
      <c r="W82" s="109"/>
      <c r="X82" s="109"/>
      <c r="Y82" s="109"/>
      <c r="Z82" s="109"/>
      <c r="AA82" s="109">
        <f>+SUM(Table1[[#This Row],[DIESEL]:[FIXED EXP]])</f>
        <v>0</v>
      </c>
      <c r="AB82" s="110">
        <f>+Table1[[#This Row],[TOTAL AMOUNT]]-Table1[[#This Row],[TOTAL COST]]</f>
        <v>0</v>
      </c>
    </row>
    <row r="83" spans="1:28" x14ac:dyDescent="0.3">
      <c r="A83" s="114"/>
      <c r="B83" s="116"/>
      <c r="C83" s="3">
        <f>SUBTOTAL(3,D$3:D83)</f>
        <v>58</v>
      </c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3"/>
      <c r="P83" s="9"/>
      <c r="Q83" s="8"/>
      <c r="R83" s="8"/>
      <c r="S83" s="8"/>
      <c r="T83" s="8"/>
      <c r="U83" s="8"/>
      <c r="V83" s="109"/>
      <c r="W83" s="109"/>
      <c r="X83" s="109"/>
      <c r="Y83" s="109"/>
      <c r="Z83" s="109"/>
      <c r="AA83" s="109">
        <f>+SUM(Table1[[#This Row],[DIESEL]:[FIXED EXP]])</f>
        <v>0</v>
      </c>
      <c r="AB83" s="110">
        <f>+Table1[[#This Row],[TOTAL AMOUNT]]-Table1[[#This Row],[TOTAL COST]]</f>
        <v>0</v>
      </c>
    </row>
    <row r="84" spans="1:28" x14ac:dyDescent="0.3">
      <c r="A84" s="41"/>
      <c r="B84" s="36"/>
      <c r="C84" s="37"/>
      <c r="D84" s="39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7"/>
      <c r="P84" s="38"/>
      <c r="Q84" s="36"/>
      <c r="R84" s="36"/>
      <c r="S84" s="36"/>
      <c r="T84" s="36"/>
      <c r="U84" s="36"/>
      <c r="V84" s="109"/>
      <c r="W84" s="109"/>
      <c r="X84" s="109"/>
      <c r="Y84" s="109"/>
      <c r="Z84" s="109"/>
      <c r="AA84" s="109">
        <f>+SUM(Table1[[#This Row],[DIESEL]:[FIXED EXP]])</f>
        <v>0</v>
      </c>
      <c r="AB84" s="110">
        <f>+Table1[[#This Row],[TOTAL AMOUNT]]-Table1[[#This Row],[TOTAL COST]]</f>
        <v>0</v>
      </c>
    </row>
    <row r="85" spans="1:28" x14ac:dyDescent="0.3">
      <c r="A85" s="37"/>
      <c r="B85" s="36"/>
      <c r="C85" s="37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7"/>
      <c r="P85" s="38">
        <f>SUBTOTAL(109,Table1[WEIGHT])</f>
        <v>496.93499999999995</v>
      </c>
      <c r="Q85" s="36"/>
      <c r="R85" s="40">
        <f>SUBTOTAL(109,Table1[ACTUAL FREIGHT])</f>
        <v>276958</v>
      </c>
      <c r="S85" s="47">
        <f>SUBTOTAL(109,Table1[DETAINTION])</f>
        <v>7000</v>
      </c>
      <c r="T85" s="47">
        <f>SUM(Table1[TOTAL AMOUNT])</f>
        <v>283958</v>
      </c>
      <c r="U85" s="47"/>
      <c r="V85" s="36"/>
      <c r="W85" s="36"/>
      <c r="X85" s="36"/>
      <c r="Y85" s="36"/>
      <c r="Z85" s="111"/>
      <c r="AA85" s="36"/>
      <c r="AB85" s="11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Party Not Available" error="Please click on &quot;Create&quot; to create the Paarty " xr:uid="{00000000-0002-0000-0000-000000000000}">
          <x14:formula1>
            <xm:f>'PARTY CREATION'!$B$3:$B$8</xm:f>
          </x14:formula1>
          <xm:sqref>G3:G84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J53"/>
  <sheetViews>
    <sheetView showGridLines="0" zoomScale="85" zoomScaleNormal="85" workbookViewId="0">
      <selection activeCell="G14" sqref="G14"/>
    </sheetView>
  </sheetViews>
  <sheetFormatPr defaultColWidth="8.88671875" defaultRowHeight="14.4" x14ac:dyDescent="0.3"/>
  <cols>
    <col min="1" max="1" width="1.6640625" customWidth="1"/>
    <col min="3" max="3" width="12.44140625" customWidth="1"/>
    <col min="4" max="4" width="23" customWidth="1"/>
    <col min="5" max="5" width="10.44140625" customWidth="1"/>
    <col min="6" max="6" width="10.88671875" customWidth="1"/>
    <col min="7" max="7" width="16.109375" bestFit="1" customWidth="1"/>
    <col min="8" max="8" width="13.5546875" customWidth="1"/>
    <col min="9" max="9" width="1.6640625" customWidth="1"/>
  </cols>
  <sheetData>
    <row r="1" spans="1:10" ht="50.1" customHeight="1" x14ac:dyDescent="0.3">
      <c r="B1" s="140" t="s">
        <v>13</v>
      </c>
      <c r="C1" s="140"/>
      <c r="D1" s="140"/>
      <c r="E1" s="140"/>
      <c r="F1" s="140"/>
      <c r="G1" s="140"/>
      <c r="H1" s="140"/>
    </row>
    <row r="2" spans="1:10" ht="9" customHeight="1" thickBot="1" x14ac:dyDescent="0.35">
      <c r="A2" s="10"/>
      <c r="B2" s="11"/>
      <c r="C2" s="11"/>
      <c r="D2" s="11"/>
      <c r="E2" s="11"/>
      <c r="F2" s="11"/>
      <c r="G2" s="11"/>
      <c r="H2" s="11"/>
      <c r="I2" s="10"/>
    </row>
    <row r="3" spans="1:10" ht="28.65" customHeight="1" x14ac:dyDescent="0.3">
      <c r="A3" s="10"/>
      <c r="B3" s="141" t="s">
        <v>37</v>
      </c>
      <c r="C3" s="142"/>
      <c r="D3" s="142"/>
      <c r="E3" s="142"/>
      <c r="F3" s="142"/>
      <c r="G3" s="142"/>
      <c r="H3" s="143"/>
      <c r="I3" s="10"/>
      <c r="J3" s="105">
        <v>2</v>
      </c>
    </row>
    <row r="4" spans="1:10" ht="21" x14ac:dyDescent="0.4">
      <c r="A4" s="10"/>
      <c r="B4" s="144" t="s">
        <v>38</v>
      </c>
      <c r="C4" s="145"/>
      <c r="D4" s="145"/>
      <c r="E4" s="145"/>
      <c r="F4" s="145"/>
      <c r="G4" s="145"/>
      <c r="H4" s="146"/>
      <c r="I4" s="10"/>
    </row>
    <row r="5" spans="1:10" x14ac:dyDescent="0.3">
      <c r="A5" s="10"/>
      <c r="B5" s="135" t="s">
        <v>39</v>
      </c>
      <c r="C5" s="136"/>
      <c r="D5" s="136"/>
      <c r="E5" s="136"/>
      <c r="F5" s="136"/>
      <c r="G5" s="136"/>
      <c r="H5" s="137"/>
      <c r="I5" s="10"/>
    </row>
    <row r="6" spans="1:10" x14ac:dyDescent="0.3">
      <c r="A6" s="10"/>
      <c r="B6" s="135" t="s">
        <v>40</v>
      </c>
      <c r="C6" s="136"/>
      <c r="D6" s="136"/>
      <c r="E6" s="136"/>
      <c r="F6" s="136"/>
      <c r="G6" s="136"/>
      <c r="H6" s="137"/>
      <c r="I6" s="10"/>
    </row>
    <row r="7" spans="1:10" x14ac:dyDescent="0.3">
      <c r="A7" s="10"/>
      <c r="B7" s="135" t="s">
        <v>41</v>
      </c>
      <c r="C7" s="136"/>
      <c r="D7" s="136"/>
      <c r="E7" s="136"/>
      <c r="F7" s="136"/>
      <c r="G7" s="136"/>
      <c r="H7" s="137"/>
      <c r="I7" s="10"/>
    </row>
    <row r="8" spans="1:10" ht="15" thickBot="1" x14ac:dyDescent="0.35">
      <c r="A8" s="10"/>
      <c r="B8" s="48"/>
      <c r="C8" s="49"/>
      <c r="D8" s="49"/>
      <c r="E8" s="49"/>
      <c r="F8" s="49"/>
      <c r="G8" s="49"/>
      <c r="H8" s="50"/>
      <c r="I8" s="10"/>
    </row>
    <row r="9" spans="1:10" x14ac:dyDescent="0.3">
      <c r="A9" s="10"/>
      <c r="B9" s="129" t="s">
        <v>58</v>
      </c>
      <c r="C9" s="130"/>
      <c r="D9" s="130"/>
      <c r="E9" s="131"/>
      <c r="F9" s="51"/>
      <c r="G9" s="52"/>
      <c r="H9" s="53"/>
      <c r="I9" s="10"/>
    </row>
    <row r="10" spans="1:10" x14ac:dyDescent="0.3">
      <c r="A10" s="10"/>
      <c r="B10" s="132"/>
      <c r="C10" s="133"/>
      <c r="D10" s="133"/>
      <c r="E10" s="134"/>
      <c r="F10" s="54" t="s">
        <v>42</v>
      </c>
      <c r="G10" s="106">
        <f>+ANNEXURE!D3</f>
        <v>46113</v>
      </c>
      <c r="H10" s="56"/>
      <c r="I10" s="10"/>
    </row>
    <row r="11" spans="1:10" x14ac:dyDescent="0.3">
      <c r="A11" s="10"/>
      <c r="B11" s="126" t="e">
        <f ca="1">+_xlfn.XLOOKUP(B9,'PARTY CREATION'!$B:$B,'PARTY CREATION'!$C:$C)</f>
        <v>#NAME?</v>
      </c>
      <c r="C11" s="127"/>
      <c r="D11" s="127"/>
      <c r="E11" s="128"/>
      <c r="F11" s="57"/>
      <c r="H11" s="56"/>
      <c r="I11" s="10"/>
    </row>
    <row r="12" spans="1:10" x14ac:dyDescent="0.3">
      <c r="A12" s="10"/>
      <c r="B12" s="126"/>
      <c r="C12" s="127"/>
      <c r="D12" s="127"/>
      <c r="E12" s="128"/>
      <c r="F12" s="58"/>
      <c r="G12" s="55"/>
      <c r="H12" s="59"/>
      <c r="I12" s="10"/>
    </row>
    <row r="13" spans="1:10" x14ac:dyDescent="0.3">
      <c r="A13" s="10"/>
      <c r="B13" s="126"/>
      <c r="C13" s="127"/>
      <c r="D13" s="127"/>
      <c r="E13" s="128"/>
      <c r="F13" s="103" t="s">
        <v>62</v>
      </c>
      <c r="G13" s="1">
        <v>1</v>
      </c>
      <c r="H13" s="59"/>
      <c r="I13" s="10"/>
    </row>
    <row r="14" spans="1:10" x14ac:dyDescent="0.3">
      <c r="A14" s="10"/>
      <c r="B14" s="123" t="s">
        <v>55</v>
      </c>
      <c r="C14" s="124"/>
      <c r="D14" s="124"/>
      <c r="E14" s="125"/>
      <c r="F14" s="58"/>
      <c r="G14" s="55"/>
      <c r="H14" s="59"/>
      <c r="I14" s="10"/>
    </row>
    <row r="15" spans="1:10" ht="18" thickBot="1" x14ac:dyDescent="0.35">
      <c r="A15" s="10"/>
      <c r="B15" s="138" t="s">
        <v>43</v>
      </c>
      <c r="C15" s="139"/>
      <c r="D15" s="139"/>
      <c r="E15" s="139"/>
      <c r="F15" s="60" t="s">
        <v>63</v>
      </c>
      <c r="G15" s="61"/>
      <c r="H15" s="62"/>
      <c r="I15" s="10"/>
    </row>
    <row r="16" spans="1:10" ht="15" thickBot="1" x14ac:dyDescent="0.35">
      <c r="A16" s="10"/>
      <c r="B16" s="119" t="s">
        <v>44</v>
      </c>
      <c r="C16" s="120"/>
      <c r="D16" s="120"/>
      <c r="E16" s="120"/>
      <c r="F16" s="63" t="s">
        <v>45</v>
      </c>
      <c r="G16" s="121">
        <v>4501310765</v>
      </c>
      <c r="H16" s="122"/>
      <c r="I16" s="10"/>
    </row>
    <row r="17" spans="1:9" ht="15" thickBot="1" x14ac:dyDescent="0.35">
      <c r="A17" s="10"/>
      <c r="B17" s="64"/>
      <c r="C17" s="65" t="s">
        <v>46</v>
      </c>
      <c r="D17" s="66" t="s">
        <v>6</v>
      </c>
      <c r="E17" s="66" t="s">
        <v>7</v>
      </c>
      <c r="F17" s="67" t="s">
        <v>47</v>
      </c>
      <c r="G17" s="68" t="s">
        <v>48</v>
      </c>
      <c r="H17" s="68" t="s">
        <v>49</v>
      </c>
      <c r="I17" s="10"/>
    </row>
    <row r="18" spans="1:9" x14ac:dyDescent="0.3">
      <c r="A18" s="10"/>
      <c r="B18" s="69"/>
      <c r="C18" s="52"/>
      <c r="D18" s="69"/>
      <c r="E18" s="69"/>
      <c r="F18" s="53"/>
      <c r="G18" s="53"/>
      <c r="H18" s="53"/>
      <c r="I18" s="10"/>
    </row>
    <row r="19" spans="1:9" s="15" customFormat="1" x14ac:dyDescent="0.3">
      <c r="A19" s="14"/>
      <c r="B19" s="70"/>
      <c r="C19"/>
      <c r="D19" s="71"/>
      <c r="E19" s="71"/>
      <c r="F19" s="73"/>
      <c r="G19" s="73"/>
      <c r="H19" s="74"/>
      <c r="I19" s="14"/>
    </row>
    <row r="20" spans="1:9" x14ac:dyDescent="0.3">
      <c r="A20" s="10"/>
      <c r="B20" s="70"/>
      <c r="D20" s="100" t="s">
        <v>60</v>
      </c>
      <c r="E20" s="75"/>
      <c r="F20" s="102"/>
      <c r="G20" s="73"/>
      <c r="H20" s="74">
        <f ca="1">+ANNEXURE!M64</f>
        <v>94750</v>
      </c>
      <c r="I20" s="10"/>
    </row>
    <row r="21" spans="1:9" x14ac:dyDescent="0.3">
      <c r="A21" s="10"/>
      <c r="B21" s="70"/>
      <c r="D21" s="71"/>
      <c r="E21" s="75"/>
      <c r="F21" s="102"/>
      <c r="G21" s="73"/>
      <c r="H21" s="74"/>
      <c r="I21" s="10"/>
    </row>
    <row r="22" spans="1:9" x14ac:dyDescent="0.3">
      <c r="A22" s="10"/>
      <c r="B22" s="76"/>
      <c r="D22" s="71"/>
      <c r="E22" s="75"/>
      <c r="F22" s="102"/>
      <c r="G22" s="73"/>
      <c r="H22" s="74"/>
      <c r="I22" s="10"/>
    </row>
    <row r="23" spans="1:9" x14ac:dyDescent="0.3">
      <c r="A23" s="10"/>
      <c r="B23" s="70"/>
      <c r="D23" s="75"/>
      <c r="E23" s="75"/>
      <c r="F23" s="102"/>
      <c r="G23" s="78"/>
      <c r="H23" s="79"/>
      <c r="I23" s="10"/>
    </row>
    <row r="24" spans="1:9" x14ac:dyDescent="0.3">
      <c r="A24" s="10"/>
      <c r="B24" s="70"/>
      <c r="D24" s="75"/>
      <c r="E24" s="75"/>
      <c r="F24" s="102"/>
      <c r="G24" s="78"/>
      <c r="H24" s="79"/>
      <c r="I24" s="10"/>
    </row>
    <row r="25" spans="1:9" x14ac:dyDescent="0.3">
      <c r="A25" s="10"/>
      <c r="B25" s="70"/>
      <c r="D25" s="71"/>
      <c r="E25" s="101"/>
      <c r="F25" s="77"/>
      <c r="G25" s="73"/>
      <c r="H25" s="74"/>
      <c r="I25" s="10"/>
    </row>
    <row r="26" spans="1:9" x14ac:dyDescent="0.3">
      <c r="A26" s="10"/>
      <c r="B26" s="76"/>
      <c r="D26" s="71"/>
      <c r="E26" s="75"/>
      <c r="F26" s="77"/>
      <c r="G26" s="73"/>
      <c r="H26" s="82"/>
      <c r="I26" s="10"/>
    </row>
    <row r="27" spans="1:9" x14ac:dyDescent="0.3">
      <c r="A27" s="10"/>
      <c r="B27" s="70"/>
      <c r="D27" s="71"/>
      <c r="E27" s="75"/>
      <c r="F27" s="77"/>
      <c r="G27" s="73"/>
      <c r="H27" s="82"/>
      <c r="I27" s="10"/>
    </row>
    <row r="28" spans="1:9" ht="14.4" customHeight="1" x14ac:dyDescent="0.3">
      <c r="A28" s="10"/>
      <c r="B28" s="70"/>
      <c r="D28" s="71"/>
      <c r="E28" s="81"/>
      <c r="F28" s="77"/>
      <c r="G28" s="56"/>
      <c r="H28" s="82"/>
      <c r="I28" s="10"/>
    </row>
    <row r="29" spans="1:9" ht="14.4" customHeight="1" x14ac:dyDescent="0.3">
      <c r="A29" s="10"/>
      <c r="B29" s="76"/>
      <c r="D29" s="71"/>
      <c r="E29" s="71"/>
      <c r="F29" s="72"/>
      <c r="G29" s="73"/>
      <c r="H29" s="82"/>
      <c r="I29" s="10"/>
    </row>
    <row r="30" spans="1:9" ht="14.4" customHeight="1" x14ac:dyDescent="0.3">
      <c r="A30" s="10"/>
      <c r="B30" s="70"/>
      <c r="D30" s="83"/>
      <c r="E30" s="84"/>
      <c r="F30" s="72"/>
      <c r="G30" s="56"/>
      <c r="H30" s="72"/>
      <c r="I30" s="10"/>
    </row>
    <row r="31" spans="1:9" ht="15.6" x14ac:dyDescent="0.3">
      <c r="A31" s="10"/>
      <c r="B31" s="70"/>
      <c r="D31" s="83"/>
      <c r="E31" s="84"/>
      <c r="F31" s="72"/>
      <c r="G31" s="56"/>
      <c r="H31" s="72"/>
      <c r="I31" s="10"/>
    </row>
    <row r="32" spans="1:9" ht="15.6" x14ac:dyDescent="0.3">
      <c r="A32" s="10"/>
      <c r="B32" s="70"/>
      <c r="D32" s="83"/>
      <c r="E32" s="84"/>
      <c r="F32" s="85"/>
      <c r="G32" s="86"/>
      <c r="H32" s="80"/>
      <c r="I32" s="10"/>
    </row>
    <row r="33" spans="1:9" ht="15.6" x14ac:dyDescent="0.3">
      <c r="A33" s="10"/>
      <c r="B33" s="70"/>
      <c r="D33" s="83"/>
      <c r="E33" s="83"/>
      <c r="F33" s="87"/>
      <c r="G33" s="86"/>
      <c r="H33" s="80"/>
      <c r="I33" s="10"/>
    </row>
    <row r="34" spans="1:9" ht="15.6" x14ac:dyDescent="0.3">
      <c r="A34" s="10"/>
      <c r="B34" s="70"/>
      <c r="D34" s="88"/>
      <c r="E34" s="83"/>
      <c r="F34" s="89"/>
      <c r="G34" s="86" t="s">
        <v>61</v>
      </c>
      <c r="H34" s="90">
        <f ca="1">SUM(H19:H33)</f>
        <v>94750</v>
      </c>
      <c r="I34" s="10"/>
    </row>
    <row r="35" spans="1:9" ht="15.6" x14ac:dyDescent="0.3">
      <c r="A35" s="10"/>
      <c r="B35" s="76"/>
      <c r="D35" s="83"/>
      <c r="E35" s="83"/>
      <c r="F35" s="89"/>
      <c r="G35" s="86"/>
      <c r="H35" s="90"/>
      <c r="I35" s="10"/>
    </row>
    <row r="36" spans="1:9" ht="15.6" x14ac:dyDescent="0.3">
      <c r="A36" s="10"/>
      <c r="B36" s="76"/>
      <c r="D36" s="83"/>
      <c r="E36" s="83"/>
      <c r="F36" s="89" t="s">
        <v>50</v>
      </c>
      <c r="G36" s="91"/>
      <c r="H36" s="90"/>
      <c r="I36" s="10"/>
    </row>
    <row r="37" spans="1:9" ht="15.6" x14ac:dyDescent="0.3">
      <c r="A37" s="10"/>
      <c r="B37" s="76"/>
      <c r="D37" s="83"/>
      <c r="E37" s="83"/>
      <c r="F37" s="89"/>
      <c r="G37" s="92"/>
      <c r="H37" s="90"/>
      <c r="I37" s="10"/>
    </row>
    <row r="38" spans="1:9" ht="15.6" x14ac:dyDescent="0.3">
      <c r="A38" s="10"/>
      <c r="B38" s="76"/>
      <c r="D38" s="83"/>
      <c r="E38" s="83"/>
      <c r="F38" s="89" t="s">
        <v>51</v>
      </c>
      <c r="G38" s="91"/>
      <c r="H38" s="90"/>
      <c r="I38" s="10"/>
    </row>
    <row r="39" spans="1:9" ht="15.6" x14ac:dyDescent="0.3">
      <c r="A39" s="10"/>
      <c r="B39" s="76"/>
      <c r="D39" s="83"/>
      <c r="E39" s="83"/>
      <c r="F39" s="89"/>
      <c r="G39" s="92"/>
      <c r="H39" s="90"/>
      <c r="I39" s="10"/>
    </row>
    <row r="40" spans="1:9" ht="15.6" x14ac:dyDescent="0.3">
      <c r="A40" s="10"/>
      <c r="B40" s="76"/>
      <c r="D40" s="83"/>
      <c r="E40" s="83"/>
      <c r="F40" s="89" t="s">
        <v>52</v>
      </c>
      <c r="G40" s="91"/>
      <c r="H40" s="90"/>
      <c r="I40" s="10"/>
    </row>
    <row r="41" spans="1:9" ht="15.6" x14ac:dyDescent="0.3">
      <c r="A41" s="10"/>
      <c r="B41" s="76"/>
      <c r="D41" s="83"/>
      <c r="E41" s="84"/>
      <c r="F41" s="72"/>
      <c r="G41" s="56"/>
      <c r="H41" s="72"/>
      <c r="I41" s="10"/>
    </row>
    <row r="42" spans="1:9" ht="15.6" x14ac:dyDescent="0.3">
      <c r="A42" s="10"/>
      <c r="B42" s="76"/>
      <c r="D42" s="83"/>
      <c r="E42" s="84"/>
      <c r="F42" s="72"/>
      <c r="G42" s="56"/>
      <c r="H42" s="72"/>
      <c r="I42" s="10"/>
    </row>
    <row r="43" spans="1:9" x14ac:dyDescent="0.3">
      <c r="A43" s="10"/>
      <c r="B43" s="80"/>
      <c r="D43" s="80"/>
      <c r="E43" s="80"/>
      <c r="F43" s="56"/>
      <c r="G43" s="56"/>
      <c r="H43" s="56"/>
      <c r="I43" s="10"/>
    </row>
    <row r="44" spans="1:9" ht="15" thickBot="1" x14ac:dyDescent="0.35">
      <c r="A44" s="10"/>
      <c r="B44" s="80"/>
      <c r="D44" s="80"/>
      <c r="E44" s="80"/>
      <c r="F44" s="62"/>
      <c r="G44" s="62"/>
      <c r="H44" s="62"/>
      <c r="I44" s="10"/>
    </row>
    <row r="45" spans="1:9" ht="15" thickBot="1" x14ac:dyDescent="0.35">
      <c r="A45" s="10"/>
      <c r="B45" s="93"/>
      <c r="C45" s="61"/>
      <c r="D45" s="93"/>
      <c r="E45" s="93"/>
      <c r="F45" s="94"/>
      <c r="G45" s="94" t="s">
        <v>14</v>
      </c>
      <c r="H45" s="95">
        <f ca="1">SUM(H34:H44)</f>
        <v>94750</v>
      </c>
      <c r="I45" s="10"/>
    </row>
    <row r="46" spans="1:9" ht="15" thickBot="1" x14ac:dyDescent="0.35">
      <c r="A46" s="10"/>
      <c r="B46" s="96" t="s">
        <v>53</v>
      </c>
      <c r="C46" s="61"/>
      <c r="D46" s="61"/>
      <c r="F46" s="52"/>
      <c r="G46" s="52"/>
      <c r="H46" s="53"/>
      <c r="I46" s="10"/>
    </row>
    <row r="47" spans="1:9" x14ac:dyDescent="0.3">
      <c r="A47" s="10"/>
      <c r="B47" s="51"/>
      <c r="C47" s="52"/>
      <c r="D47" s="52"/>
      <c r="E47" s="51"/>
      <c r="F47" s="52"/>
      <c r="G47" s="52"/>
      <c r="H47" s="53"/>
      <c r="I47" s="10"/>
    </row>
    <row r="48" spans="1:9" x14ac:dyDescent="0.3">
      <c r="A48" s="10"/>
      <c r="B48" s="57"/>
      <c r="E48" s="57"/>
      <c r="H48" s="56"/>
      <c r="I48" s="10"/>
    </row>
    <row r="49" spans="1:9" x14ac:dyDescent="0.3">
      <c r="A49" s="10"/>
      <c r="B49" s="57"/>
      <c r="E49" s="57"/>
      <c r="H49" s="56"/>
      <c r="I49" s="10"/>
    </row>
    <row r="50" spans="1:9" x14ac:dyDescent="0.3">
      <c r="A50" s="10"/>
      <c r="B50" s="54" t="s">
        <v>54</v>
      </c>
      <c r="E50" s="57"/>
      <c r="F50" s="55" t="s">
        <v>64</v>
      </c>
      <c r="H50" s="56"/>
      <c r="I50" s="10"/>
    </row>
    <row r="51" spans="1:9" x14ac:dyDescent="0.3">
      <c r="A51" s="10"/>
      <c r="B51" s="57"/>
      <c r="E51" s="57"/>
      <c r="H51" s="56"/>
      <c r="I51" s="10"/>
    </row>
    <row r="52" spans="1:9" ht="15" thickBot="1" x14ac:dyDescent="0.35">
      <c r="A52" s="10"/>
      <c r="B52" s="97"/>
      <c r="C52" s="61"/>
      <c r="D52" s="61"/>
      <c r="E52" s="97"/>
      <c r="F52" s="61"/>
      <c r="G52" s="61"/>
      <c r="H52" s="62"/>
      <c r="I52" s="10"/>
    </row>
    <row r="53" spans="1:9" ht="9" customHeight="1" x14ac:dyDescent="0.3">
      <c r="A53" s="10"/>
      <c r="B53" s="11"/>
      <c r="C53" s="11"/>
      <c r="D53" s="11"/>
      <c r="E53" s="11"/>
      <c r="F53" s="11"/>
      <c r="G53" s="11"/>
      <c r="H53" s="11"/>
      <c r="I53" s="10"/>
    </row>
  </sheetData>
  <mergeCells count="12">
    <mergeCell ref="B7:H7"/>
    <mergeCell ref="B15:E15"/>
    <mergeCell ref="B1:H1"/>
    <mergeCell ref="B3:H3"/>
    <mergeCell ref="B4:H4"/>
    <mergeCell ref="B5:H5"/>
    <mergeCell ref="B6:H6"/>
    <mergeCell ref="B16:E16"/>
    <mergeCell ref="G16:H16"/>
    <mergeCell ref="B14:E14"/>
    <mergeCell ref="B11:E13"/>
    <mergeCell ref="B9:E10"/>
  </mergeCells>
  <hyperlinks>
    <hyperlink ref="B28" r:id="rId1" display="Or, Click Here to Create Your Bill in Smartsheet" xr:uid="{00000000-0004-0000-0100-000000000000}"/>
    <hyperlink ref="C28" r:id="rId2" display="Or, Click Here to Create Your Bill in Smartsheet" xr:uid="{00000000-0004-0000-0100-000001000000}"/>
    <hyperlink ref="D28" r:id="rId3" display="Or, Click Here to Create Your Bill in Smartsheet" xr:uid="{00000000-0004-0000-0100-000002000000}"/>
    <hyperlink ref="E28" r:id="rId4" display="Or, Click Here to Create Your Bill in Smartsheet" xr:uid="{00000000-0004-0000-0100-000003000000}"/>
    <hyperlink ref="F28" r:id="rId5" display="Or, Click Here to Create Your Bill in Smartsheet" xr:uid="{00000000-0004-0000-0100-000004000000}"/>
    <hyperlink ref="G28" r:id="rId6" display="Or, Click Here to Create Your Bill in Smartsheet" xr:uid="{00000000-0004-0000-0100-000005000000}"/>
    <hyperlink ref="H28" r:id="rId7" display="Or, Click Here to Create Your Bill in Smartsheet" xr:uid="{00000000-0004-0000-0100-000006000000}"/>
    <hyperlink ref="J28" r:id="rId8" display="Or, Click Here to Create Your Bill in Smartsheet" xr:uid="{00000000-0004-0000-0100-000007000000}"/>
    <hyperlink ref="K28" r:id="rId9" display="Or, Click Here to Create Your Bill in Smartsheet" xr:uid="{00000000-0004-0000-0100-000008000000}"/>
    <hyperlink ref="B29" r:id="rId10" display="Or, Click Here to Create Your Bill in Smartsheet" xr:uid="{00000000-0004-0000-0100-000009000000}"/>
    <hyperlink ref="C29" r:id="rId11" display="Or, Click Here to Create Your Bill in Smartsheet" xr:uid="{00000000-0004-0000-0100-00000A000000}"/>
    <hyperlink ref="D29" r:id="rId12" display="Or, Click Here to Create Your Bill in Smartsheet" xr:uid="{00000000-0004-0000-0100-00000B000000}"/>
    <hyperlink ref="E29" r:id="rId13" display="Or, Click Here to Create Your Bill in Smartsheet" xr:uid="{00000000-0004-0000-0100-00000C000000}"/>
    <hyperlink ref="F29" r:id="rId14" display="Or, Click Here to Create Your Bill in Smartsheet" xr:uid="{00000000-0004-0000-0100-00000D000000}"/>
    <hyperlink ref="G29" r:id="rId15" display="Or, Click Here to Create Your Bill in Smartsheet" xr:uid="{00000000-0004-0000-0100-00000E000000}"/>
    <hyperlink ref="H29" r:id="rId16" display="Or, Click Here to Create Your Bill in Smartsheet" xr:uid="{00000000-0004-0000-0100-00000F000000}"/>
    <hyperlink ref="J29" r:id="rId17" display="Or, Click Here to Create Your Bill in Smartsheet" xr:uid="{00000000-0004-0000-0100-000010000000}"/>
    <hyperlink ref="K29" r:id="rId18" display="Or, Click Here to Create Your Bill in Smartsheet" xr:uid="{00000000-0004-0000-0100-000011000000}"/>
    <hyperlink ref="B30" r:id="rId19" display="Or, Click Here to Create Your Bill in Smartsheet" xr:uid="{00000000-0004-0000-0100-000012000000}"/>
    <hyperlink ref="C30" r:id="rId20" display="Or, Click Here to Create Your Bill in Smartsheet" xr:uid="{00000000-0004-0000-0100-000013000000}"/>
    <hyperlink ref="D30" r:id="rId21" display="Or, Click Here to Create Your Bill in Smartsheet" xr:uid="{00000000-0004-0000-0100-000014000000}"/>
    <hyperlink ref="E30" r:id="rId22" display="Or, Click Here to Create Your Bill in Smartsheet" xr:uid="{00000000-0004-0000-0100-000015000000}"/>
    <hyperlink ref="F30" r:id="rId23" display="Or, Click Here to Create Your Bill in Smartsheet" xr:uid="{00000000-0004-0000-0100-000016000000}"/>
    <hyperlink ref="G30" r:id="rId24" display="Or, Click Here to Create Your Bill in Smartsheet" xr:uid="{00000000-0004-0000-0100-000017000000}"/>
    <hyperlink ref="H30" r:id="rId25" display="Or, Click Here to Create Your Bill in Smartsheet" xr:uid="{00000000-0004-0000-0100-000018000000}"/>
    <hyperlink ref="J30" r:id="rId26" display="Or, Click Here to Create Your Bill in Smartsheet" xr:uid="{00000000-0004-0000-0100-000019000000}"/>
    <hyperlink ref="K30" r:id="rId27" display="Or, Click Here to Create Your Bill in Smartsheet" xr:uid="{00000000-0004-0000-0100-00001A000000}"/>
  </hyperlinks>
  <pageMargins left="0.7" right="0.7" top="0.75" bottom="0.75" header="0.3" footer="0.3"/>
  <pageSetup scale="84" fitToHeight="0" orientation="portrait" horizontalDpi="1200" verticalDpi="1200" r:id="rId28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E2F48B-636C-49C3-8584-1FD8F35EBD9B}">
          <x14:formula1>
            <xm:f>'PARTY CREATION'!$B$3:$B$1048576</xm:f>
          </x14:formula1>
          <xm:sqref>B9:E10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64"/>
  <sheetViews>
    <sheetView topLeftCell="A44" workbookViewId="0">
      <selection activeCell="E74" sqref="E74"/>
    </sheetView>
  </sheetViews>
  <sheetFormatPr defaultRowHeight="12.6" customHeight="1" x14ac:dyDescent="0.3"/>
  <cols>
    <col min="1" max="1" width="3.109375" bestFit="1" customWidth="1"/>
    <col min="2" max="2" width="5.21875" hidden="1" customWidth="1"/>
    <col min="3" max="3" width="11.109375" customWidth="1"/>
    <col min="4" max="4" width="23.88671875" customWidth="1"/>
    <col min="5" max="5" width="8.5546875" customWidth="1"/>
    <col min="6" max="6" width="9.44140625" customWidth="1"/>
    <col min="7" max="7" width="9.33203125" hidden="1" customWidth="1"/>
    <col min="8" max="8" width="10.5546875" style="1" bestFit="1" customWidth="1"/>
    <col min="9" max="9" width="7.44140625" style="29" bestFit="1" customWidth="1"/>
    <col min="10" max="10" width="8.33203125" style="31" bestFit="1" customWidth="1"/>
    <col min="11" max="11" width="9" bestFit="1" customWidth="1"/>
    <col min="12" max="12" width="6.44140625" hidden="1" customWidth="1"/>
    <col min="13" max="13" width="10.109375" bestFit="1" customWidth="1"/>
    <col min="14" max="14" width="8.44140625" hidden="1" customWidth="1"/>
    <col min="15" max="15" width="14.5546875" bestFit="1" customWidth="1"/>
    <col min="20" max="20" width="2" bestFit="1" customWidth="1"/>
  </cols>
  <sheetData>
    <row r="2" spans="1:20" ht="12.6" customHeight="1" x14ac:dyDescent="0.3">
      <c r="A2" s="147" t="s">
        <v>34</v>
      </c>
      <c r="B2" s="147"/>
      <c r="C2" s="147"/>
      <c r="D2" s="33" t="str">
        <f>+CONCATENATE(VLOOKUP($D$4,'PARTY CREATION'!$B$3:$I$1048576,3),"-",E2)</f>
        <v>CST/SBD-1</v>
      </c>
      <c r="E2" s="104">
        <v>1</v>
      </c>
    </row>
    <row r="3" spans="1:20" ht="12.6" customHeight="1" x14ac:dyDescent="0.3">
      <c r="A3" s="147" t="s">
        <v>35</v>
      </c>
      <c r="B3" s="147"/>
      <c r="C3" s="147"/>
      <c r="D3" s="34">
        <f>+VLOOKUP(E2,FREIGHT!A:B,2,)</f>
        <v>46113</v>
      </c>
      <c r="E3" s="24"/>
    </row>
    <row r="4" spans="1:20" ht="12.6" customHeight="1" x14ac:dyDescent="0.3">
      <c r="A4" s="148" t="s">
        <v>23</v>
      </c>
      <c r="B4" s="148"/>
      <c r="C4" s="148"/>
      <c r="D4" s="35" t="str">
        <f>+VLOOKUP(E2,FREIGHT!$A:$U,7,)</f>
        <v>SBD CHK</v>
      </c>
    </row>
    <row r="5" spans="1:20" s="2" customFormat="1" ht="12.6" customHeight="1" x14ac:dyDescent="0.3">
      <c r="A5" s="5" t="s">
        <v>18</v>
      </c>
      <c r="B5" s="5"/>
      <c r="C5" s="5" t="s">
        <v>0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2</v>
      </c>
      <c r="I5" s="98" t="s">
        <v>19</v>
      </c>
      <c r="J5" s="99" t="s">
        <v>15</v>
      </c>
      <c r="K5" s="5" t="s">
        <v>16</v>
      </c>
      <c r="L5" s="5" t="s">
        <v>24</v>
      </c>
      <c r="M5" s="5" t="s">
        <v>25</v>
      </c>
      <c r="N5" s="5" t="s">
        <v>36</v>
      </c>
      <c r="O5" s="5" t="s">
        <v>1</v>
      </c>
    </row>
    <row r="6" spans="1:20" ht="12.6" customHeight="1" x14ac:dyDescent="0.3">
      <c r="A6" s="16">
        <v>1</v>
      </c>
      <c r="B6" s="25">
        <f ca="1">MATCH($E$2,OFFSET(FREIGHT!$A$1,B5,0,1000,1),0)+B5</f>
        <v>3</v>
      </c>
      <c r="C6" s="26">
        <f ca="1">IFERROR(INDEX(FREIGHT!$D:$D,$B6),"")</f>
        <v>46113</v>
      </c>
      <c r="D6" s="27" t="str">
        <f ca="1">IFERROR(INDEX(FREIGHT!$I:$I,$B6),"")</f>
        <v>MTC CHAKAN</v>
      </c>
      <c r="E6" s="27" t="str">
        <f ca="1">IFERROR(INDEX(FREIGHT!$J:$J,$B6),"")</f>
        <v>CHK</v>
      </c>
      <c r="F6" s="27" t="str">
        <f ca="1">IFERROR(INDEX(FREIGHT!$K:$K,$B6),"")</f>
        <v>KFIL</v>
      </c>
      <c r="G6" s="27" t="str">
        <f ca="1">IFERROR(INDEX(FREIGHT!$L:$L,$B6),"")</f>
        <v>JEJURI</v>
      </c>
      <c r="H6" s="32">
        <f ca="1">IFERROR(INDEX(FREIGHT!$O:$O,$B6),"")</f>
        <v>10</v>
      </c>
      <c r="I6" s="28">
        <f ca="1">IFERROR(INDEX(FREIGHT!$P:$P,$B6),"")</f>
        <v>25</v>
      </c>
      <c r="J6" s="30">
        <f ca="1">IFERROR(INDEX(FREIGHT!$Q:$Q,$B6),"")</f>
        <v>6500</v>
      </c>
      <c r="K6" s="30">
        <f ca="1">IFERROR(INDEX(FREIGHT!$R:$R,$B6),"")</f>
        <v>16250</v>
      </c>
      <c r="L6" s="30">
        <f ca="1">IFERROR(INDEX(FREIGHT!$S:$S,$B6),"")</f>
        <v>4000</v>
      </c>
      <c r="M6" s="30">
        <f ca="1">IFERROR(INDEX(FREIGHT!$T:$T,$B6),"")</f>
        <v>20250</v>
      </c>
      <c r="N6" s="30">
        <f ca="1">IFERROR(INDEX(FREIGHT!$U:$U,$B6),"")</f>
        <v>0</v>
      </c>
      <c r="O6" s="26" t="str">
        <f ca="1">IFERROR(INDEX(FREIGHT!$E:$E,$B6),"")</f>
        <v>MH12NX9008</v>
      </c>
      <c r="T6" s="12">
        <f ca="1">+IF(S6/K6*R6&lt;=S6/10,S6/10,ROUND(S6/K6*R6,0))</f>
        <v>0</v>
      </c>
    </row>
    <row r="7" spans="1:20" ht="12.6" customHeight="1" x14ac:dyDescent="0.3">
      <c r="A7" s="16">
        <f ca="1">SUBTOTAL(3,C$6:C7)</f>
        <v>2</v>
      </c>
      <c r="B7" s="25">
        <f ca="1">MATCH($E$2,OFFSET(FREIGHT!$A$1,B6,0,1000,1),0)+B6</f>
        <v>4</v>
      </c>
      <c r="C7" s="26">
        <f ca="1">IFERROR(INDEX(FREIGHT!$D:$D,$B7),"")</f>
        <v>46114</v>
      </c>
      <c r="D7" s="27" t="str">
        <f ca="1">IFERROR(INDEX(FREIGHT!$I:$I,$B7),"")</f>
        <v>MTC TALAWADE</v>
      </c>
      <c r="E7" s="27" t="str">
        <f ca="1">IFERROR(INDEX(FREIGHT!$J:$J,$B7),"")</f>
        <v>TAL</v>
      </c>
      <c r="F7" s="27" t="str">
        <f ca="1">IFERROR(INDEX(FREIGHT!$K:$K,$B7),"")</f>
        <v>KFIL</v>
      </c>
      <c r="G7" s="27" t="str">
        <f ca="1">IFERROR(INDEX(FREIGHT!$L:$L,$B7),"")</f>
        <v>JEJURI</v>
      </c>
      <c r="H7" s="32">
        <f ca="1">IFERROR(INDEX(FREIGHT!$O:$O,$B7),"")</f>
        <v>20</v>
      </c>
      <c r="I7" s="28">
        <f ca="1">IFERROR(INDEX(FREIGHT!$P:$P,$B7),"")</f>
        <v>25</v>
      </c>
      <c r="J7" s="30">
        <f ca="1">IFERROR(INDEX(FREIGHT!$Q:$Q,$B7),"")</f>
        <v>6500</v>
      </c>
      <c r="K7" s="30">
        <f ca="1">IFERROR(INDEX(FREIGHT!$R:$R,$B7),"")</f>
        <v>16250</v>
      </c>
      <c r="L7" s="30">
        <f ca="1">IFERROR(INDEX(FREIGHT!$S:$S,$B7),"")</f>
        <v>2000</v>
      </c>
      <c r="M7" s="30">
        <f ca="1">IFERROR(INDEX(FREIGHT!$T:$T,$B7),"")</f>
        <v>18250</v>
      </c>
      <c r="N7" s="30">
        <f ca="1">IFERROR(INDEX(FREIGHT!$U:$U,$B7)," ")</f>
        <v>0</v>
      </c>
      <c r="O7" s="26" t="str">
        <f ca="1">IFERROR(INDEX(FREIGHT!$E:$E,$B7),"")</f>
        <v>MH14KA2022</v>
      </c>
    </row>
    <row r="8" spans="1:20" ht="12.6" customHeight="1" x14ac:dyDescent="0.3">
      <c r="A8" s="16">
        <f ca="1">SUBTOTAL(3,C$6:C8)</f>
        <v>3</v>
      </c>
      <c r="B8" s="25">
        <f ca="1">MATCH($E$2,OFFSET(FREIGHT!$A$1,B7,0,1000,1),0)+B7</f>
        <v>5</v>
      </c>
      <c r="C8" s="26">
        <f ca="1">IFERROR(INDEX(FREIGHT!$D:$D,$B8),"")</f>
        <v>46115</v>
      </c>
      <c r="D8" s="27" t="str">
        <f ca="1">IFERROR(INDEX(FREIGHT!$I:$I,$B8),"")</f>
        <v>MTC TALAWADE</v>
      </c>
      <c r="E8" s="27" t="str">
        <f ca="1">IFERROR(INDEX(FREIGHT!$J:$J,$B8),"")</f>
        <v>TAL</v>
      </c>
      <c r="F8" s="27" t="str">
        <f ca="1">IFERROR(INDEX(FREIGHT!$K:$K,$B8),"")</f>
        <v>KFIL</v>
      </c>
      <c r="G8" s="27" t="str">
        <f ca="1">IFERROR(INDEX(FREIGHT!$L:$L,$B8),"")</f>
        <v>JEJURI</v>
      </c>
      <c r="H8" s="32">
        <f ca="1">IFERROR(INDEX(FREIGHT!$O:$O,$B8),"")</f>
        <v>30</v>
      </c>
      <c r="I8" s="28">
        <f ca="1">IFERROR(INDEX(FREIGHT!$P:$P,$B8),"")</f>
        <v>25</v>
      </c>
      <c r="J8" s="30">
        <f ca="1">IFERROR(INDEX(FREIGHT!$Q:$Q,$B8),"")</f>
        <v>6500</v>
      </c>
      <c r="K8" s="30">
        <f ca="1">IFERROR(INDEX(FREIGHT!$R:$R,$B8),"")</f>
        <v>16250</v>
      </c>
      <c r="L8" s="30">
        <f ca="1">IFERROR(INDEX(FREIGHT!$S:$S,$B8),"")</f>
        <v>1000</v>
      </c>
      <c r="M8" s="30">
        <f ca="1">IFERROR(INDEX(FREIGHT!$T:$T,$B8),"")</f>
        <v>17250</v>
      </c>
      <c r="N8" s="30">
        <f ca="1">IFERROR(INDEX(FREIGHT!$U:$U,$B8),"")</f>
        <v>0</v>
      </c>
      <c r="O8" s="26" t="str">
        <f ca="1">IFERROR(INDEX(FREIGHT!$E:$E,$B8),"")</f>
        <v>MH12LT4896</v>
      </c>
    </row>
    <row r="9" spans="1:20" ht="12.6" customHeight="1" x14ac:dyDescent="0.3">
      <c r="A9" s="16">
        <f ca="1">SUBTOTAL(3,C$6:C9)</f>
        <v>4</v>
      </c>
      <c r="B9" s="25">
        <f ca="1">MATCH($E$2,OFFSET(FREIGHT!$A$1,B8,0,1000,1),0)+B8</f>
        <v>6</v>
      </c>
      <c r="C9" s="26">
        <f ca="1">IFERROR(INDEX(FREIGHT!$D:$D,$B9),"")</f>
        <v>46116</v>
      </c>
      <c r="D9" s="27" t="str">
        <f ca="1">IFERROR(INDEX(FREIGHT!$I:$I,$B9),"")</f>
        <v>MTC TALAWADE</v>
      </c>
      <c r="E9" s="27" t="str">
        <f ca="1">IFERROR(INDEX(FREIGHT!$J:$J,$B9),"")</f>
        <v>TAL</v>
      </c>
      <c r="F9" s="27" t="str">
        <f ca="1">IFERROR(INDEX(FREIGHT!$K:$K,$B9),"")</f>
        <v>KFIL</v>
      </c>
      <c r="G9" s="27" t="str">
        <f ca="1">IFERROR(INDEX(FREIGHT!$L:$L,$B9),"")</f>
        <v>JEJURI</v>
      </c>
      <c r="H9" s="32">
        <f ca="1">IFERROR(INDEX(FREIGHT!$O:$O,$B9),"")</f>
        <v>40</v>
      </c>
      <c r="I9" s="28">
        <f ca="1">IFERROR(INDEX(FREIGHT!$P:$P,$B9),"")</f>
        <v>25</v>
      </c>
      <c r="J9" s="30">
        <f ca="1">IFERROR(INDEX(FREIGHT!$Q:$Q,$B9),"")</f>
        <v>7000</v>
      </c>
      <c r="K9" s="30">
        <f ca="1">IFERROR(INDEX(FREIGHT!$R:$R,$B9),"")</f>
        <v>17500</v>
      </c>
      <c r="L9" s="30">
        <f ca="1">IFERROR(INDEX(FREIGHT!$S:$S,$B9),"")</f>
        <v>0</v>
      </c>
      <c r="M9" s="30">
        <f ca="1">IFERROR(INDEX(FREIGHT!$T:$T,$B9),"")</f>
        <v>17500</v>
      </c>
      <c r="N9" s="30">
        <f ca="1">IFERROR(INDEX(FREIGHT!$U:$U,$B9),"")</f>
        <v>0</v>
      </c>
      <c r="O9" s="26" t="str">
        <f ca="1">IFERROR(INDEX(FREIGHT!$E:$E,$B9),"")</f>
        <v>MH12KP5927</v>
      </c>
    </row>
    <row r="10" spans="1:20" ht="12.6" customHeight="1" x14ac:dyDescent="0.3">
      <c r="A10" s="16">
        <f ca="1">SUBTOTAL(3,C$6:C10)</f>
        <v>5</v>
      </c>
      <c r="B10" s="25">
        <f ca="1">MATCH($E$2,OFFSET(FREIGHT!$A$1,B9,0,1000,1),0)+B9</f>
        <v>7</v>
      </c>
      <c r="C10" s="26">
        <f ca="1">IFERROR(INDEX(FREIGHT!$D:$D,$B10),"")</f>
        <v>46117</v>
      </c>
      <c r="D10" s="27" t="str">
        <f ca="1">IFERROR(INDEX(FREIGHT!$I:$I,$B10),"")</f>
        <v>MTC TALAWADE</v>
      </c>
      <c r="E10" s="27" t="str">
        <f ca="1">IFERROR(INDEX(FREIGHT!$J:$J,$B10),"")</f>
        <v>CHK</v>
      </c>
      <c r="F10" s="27" t="str">
        <f ca="1">IFERROR(INDEX(FREIGHT!$K:$K,$B10),"")</f>
        <v>KFIL</v>
      </c>
      <c r="G10" s="27" t="str">
        <f ca="1">IFERROR(INDEX(FREIGHT!$L:$L,$B10),"")</f>
        <v>JEJURI</v>
      </c>
      <c r="H10" s="32">
        <f ca="1">IFERROR(INDEX(FREIGHT!$O:$O,$B10),"")</f>
        <v>50</v>
      </c>
      <c r="I10" s="28">
        <f ca="1">IFERROR(INDEX(FREIGHT!$P:$P,$B10),"")</f>
        <v>25</v>
      </c>
      <c r="J10" s="30">
        <f ca="1">IFERROR(INDEX(FREIGHT!$Q:$Q,$B10),"")</f>
        <v>7000</v>
      </c>
      <c r="K10" s="30">
        <f ca="1">IFERROR(INDEX(FREIGHT!$R:$R,$B10),"")</f>
        <v>17500</v>
      </c>
      <c r="L10" s="30">
        <f ca="1">IFERROR(INDEX(FREIGHT!$S:$S,$B10),"")</f>
        <v>0</v>
      </c>
      <c r="M10" s="30">
        <f ca="1">IFERROR(INDEX(FREIGHT!$T:$T,$B10),"")</f>
        <v>17500</v>
      </c>
      <c r="N10" s="30">
        <f ca="1">IFERROR(INDEX(FREIGHT!$U:$U,$B10),"")</f>
        <v>0</v>
      </c>
      <c r="O10" s="26" t="str">
        <f ca="1">IFERROR(INDEX(FREIGHT!$E:$E,$B10),"")</f>
        <v>MH12LT5574</v>
      </c>
    </row>
    <row r="11" spans="1:20" ht="12.6" customHeight="1" x14ac:dyDescent="0.3">
      <c r="A11" s="16">
        <f ca="1">SUBTOTAL(3,C$6:C11)</f>
        <v>6</v>
      </c>
      <c r="B11" s="25" t="e">
        <f ca="1">MATCH($E$2,OFFSET(FREIGHT!$A$1,B10,0,1000,1),0)+B10</f>
        <v>#N/A</v>
      </c>
      <c r="C11" s="26">
        <v>46116</v>
      </c>
      <c r="D11" s="153" t="s">
        <v>116</v>
      </c>
      <c r="E11" s="153" t="s">
        <v>115</v>
      </c>
      <c r="F11" s="153" t="s">
        <v>113</v>
      </c>
      <c r="G11" s="27" t="str">
        <f ca="1">IFERROR(INDEX(FREIGHT!$L:$L,$B11),"")</f>
        <v/>
      </c>
      <c r="H11" s="32">
        <v>50</v>
      </c>
      <c r="I11" s="28">
        <v>25.15</v>
      </c>
      <c r="J11" s="30">
        <v>7000</v>
      </c>
      <c r="K11" s="30" t="str">
        <f ca="1">IFERROR(INDEX(FREIGHT!$R:$R,$B11),"")</f>
        <v/>
      </c>
      <c r="L11" s="30" t="str">
        <f ca="1">IFERROR(INDEX(FREIGHT!$S:$S,$B11),"")</f>
        <v/>
      </c>
      <c r="M11" s="30">
        <v>4000</v>
      </c>
      <c r="N11" s="30" t="str">
        <f ca="1">IFERROR(INDEX(FREIGHT!$U:$U,$B11),"")</f>
        <v/>
      </c>
      <c r="O11" s="154" t="s">
        <v>88</v>
      </c>
    </row>
    <row r="12" spans="1:20" ht="12.6" customHeight="1" x14ac:dyDescent="0.3">
      <c r="A12" s="16">
        <f ca="1">SUBTOTAL(3,C$6:C12)</f>
        <v>7</v>
      </c>
      <c r="B12" s="25" t="e">
        <f ca="1">MATCH($E$2,OFFSET(FREIGHT!$A$1,B11,0,1000,1),0)+B11</f>
        <v>#N/A</v>
      </c>
      <c r="C12" s="26" t="str">
        <f ca="1">IFERROR(INDEX(FREIGHT!$D:$D,$B12),"")</f>
        <v/>
      </c>
      <c r="D12" s="27" t="str">
        <f ca="1">IFERROR(INDEX(FREIGHT!$I:$I,$B12),"")</f>
        <v/>
      </c>
      <c r="E12" s="27" t="str">
        <f ca="1">IFERROR(INDEX(FREIGHT!$J:$J,$B12),"")</f>
        <v/>
      </c>
      <c r="F12" s="27" t="str">
        <f ca="1">IFERROR(INDEX(FREIGHT!$K:$K,$B12),"")</f>
        <v/>
      </c>
      <c r="G12" s="27" t="str">
        <f ca="1">IFERROR(INDEX(FREIGHT!$L:$L,$B12),"")</f>
        <v/>
      </c>
      <c r="H12" s="32" t="str">
        <f ca="1">IFERROR(INDEX(FREIGHT!$O:$O,$B12),"")</f>
        <v/>
      </c>
      <c r="I12" s="28" t="str">
        <f ca="1">IFERROR(INDEX(FREIGHT!$P:$P,$B12),"")</f>
        <v/>
      </c>
      <c r="J12" s="30" t="str">
        <f ca="1">IFERROR(INDEX(FREIGHT!$Q:$Q,$B12),"")</f>
        <v/>
      </c>
      <c r="K12" s="30" t="str">
        <f ca="1">IFERROR(INDEX(FREIGHT!$R:$R,$B12),"")</f>
        <v/>
      </c>
      <c r="L12" s="30" t="str">
        <f ca="1">IFERROR(INDEX(FREIGHT!$S:$S,$B12),"")</f>
        <v/>
      </c>
      <c r="M12" s="30" t="str">
        <f ca="1">IFERROR(INDEX(FREIGHT!$T:$T,$B12),"")</f>
        <v/>
      </c>
      <c r="N12" s="30" t="str">
        <f ca="1">IFERROR(INDEX(FREIGHT!$U:$U,$B12),"")</f>
        <v/>
      </c>
      <c r="O12" s="26" t="str">
        <f ca="1">IFERROR(INDEX(FREIGHT!$E:$E,$B12),"")</f>
        <v/>
      </c>
    </row>
    <row r="13" spans="1:20" ht="12.6" customHeight="1" x14ac:dyDescent="0.3">
      <c r="A13" s="16">
        <f ca="1">SUBTOTAL(3,C$6:C13)</f>
        <v>8</v>
      </c>
      <c r="B13" s="25" t="e">
        <f ca="1">MATCH($E$2,OFFSET(FREIGHT!$A$1,B12,0,1000,1),0)+B12</f>
        <v>#N/A</v>
      </c>
      <c r="C13" s="26" t="str">
        <f ca="1">IFERROR(INDEX(FREIGHT!$D:$D,$B13),"")</f>
        <v/>
      </c>
      <c r="D13" s="27" t="str">
        <f ca="1">IFERROR(INDEX(FREIGHT!$I:$I,$B13),"")</f>
        <v/>
      </c>
      <c r="E13" s="27" t="str">
        <f ca="1">IFERROR(INDEX(FREIGHT!$J:$J,$B13),"")</f>
        <v/>
      </c>
      <c r="F13" s="27" t="str">
        <f ca="1">IFERROR(INDEX(FREIGHT!$K:$K,$B13),"")</f>
        <v/>
      </c>
      <c r="G13" s="27" t="str">
        <f ca="1">IFERROR(INDEX(FREIGHT!$L:$L,$B13),"")</f>
        <v/>
      </c>
      <c r="H13" s="32" t="str">
        <f ca="1">IFERROR(INDEX(FREIGHT!$O:$O,$B13),"")</f>
        <v/>
      </c>
      <c r="I13" s="28" t="str">
        <f ca="1">IFERROR(INDEX(FREIGHT!$P:$P,$B13),"")</f>
        <v/>
      </c>
      <c r="J13" s="30" t="str">
        <f ca="1">IFERROR(INDEX(FREIGHT!$Q:$Q,$B13),"")</f>
        <v/>
      </c>
      <c r="K13" s="30" t="str">
        <f ca="1">IFERROR(INDEX(FREIGHT!$R:$R,$B13),"")</f>
        <v/>
      </c>
      <c r="L13" s="30" t="str">
        <f ca="1">IFERROR(INDEX(FREIGHT!$S:$S,$B13),"")</f>
        <v/>
      </c>
      <c r="M13" s="30" t="str">
        <f ca="1">IFERROR(INDEX(FREIGHT!$T:$T,$B13),"")</f>
        <v/>
      </c>
      <c r="N13" s="30" t="str">
        <f ca="1">IFERROR(INDEX(FREIGHT!$U:$U,$B13),"")</f>
        <v/>
      </c>
      <c r="O13" s="26" t="str">
        <f ca="1">IFERROR(INDEX(FREIGHT!$E:$E,$B13),"")</f>
        <v/>
      </c>
    </row>
    <row r="14" spans="1:20" ht="12.6" customHeight="1" x14ac:dyDescent="0.3">
      <c r="A14" s="16">
        <f ca="1">SUBTOTAL(3,C$6:C14)</f>
        <v>9</v>
      </c>
      <c r="B14" s="25" t="e">
        <f ca="1">MATCH($E$2,OFFSET(FREIGHT!$A$1,B13,0,1000,1),0)+B13</f>
        <v>#N/A</v>
      </c>
      <c r="C14" s="26" t="str">
        <f ca="1">IFERROR(INDEX(FREIGHT!$D:$D,$B14),"")</f>
        <v/>
      </c>
      <c r="D14" s="27" t="str">
        <f ca="1">IFERROR(INDEX(FREIGHT!$I:$I,$B14),"")</f>
        <v/>
      </c>
      <c r="E14" s="27" t="str">
        <f ca="1">IFERROR(INDEX(FREIGHT!$J:$J,$B14),"")</f>
        <v/>
      </c>
      <c r="F14" s="27" t="str">
        <f ca="1">IFERROR(INDEX(FREIGHT!$K:$K,$B14),"")</f>
        <v/>
      </c>
      <c r="G14" s="27" t="str">
        <f ca="1">IFERROR(INDEX(FREIGHT!$L:$L,$B14),"")</f>
        <v/>
      </c>
      <c r="H14" s="32" t="str">
        <f ca="1">IFERROR(INDEX(FREIGHT!$O:$O,$B14),"")</f>
        <v/>
      </c>
      <c r="I14" s="28" t="str">
        <f ca="1">IFERROR(INDEX(FREIGHT!$P:$P,$B14),"")</f>
        <v/>
      </c>
      <c r="J14" s="30" t="str">
        <f ca="1">IFERROR(INDEX(FREIGHT!$Q:$Q,$B14),"")</f>
        <v/>
      </c>
      <c r="K14" s="30" t="str">
        <f ca="1">IFERROR(INDEX(FREIGHT!$R:$R,$B14),"")</f>
        <v/>
      </c>
      <c r="L14" s="30" t="str">
        <f ca="1">IFERROR(INDEX(FREIGHT!$S:$S,$B14),"")</f>
        <v/>
      </c>
      <c r="M14" s="30" t="str">
        <f ca="1">IFERROR(INDEX(FREIGHT!$T:$T,$B14),"")</f>
        <v/>
      </c>
      <c r="N14" s="30" t="str">
        <f ca="1">IFERROR(INDEX(FREIGHT!$U:$U,$B14),"")</f>
        <v/>
      </c>
      <c r="O14" s="26" t="str">
        <f ca="1">IFERROR(INDEX(FREIGHT!$E:$E,$B14),"")</f>
        <v/>
      </c>
    </row>
    <row r="15" spans="1:20" ht="12.6" customHeight="1" x14ac:dyDescent="0.3">
      <c r="A15" s="16">
        <f ca="1">SUBTOTAL(3,C$6:C15)</f>
        <v>10</v>
      </c>
      <c r="B15" s="25" t="e">
        <f ca="1">MATCH($E$2,OFFSET(FREIGHT!$A$1,B14,0,1000,1),0)+B14</f>
        <v>#N/A</v>
      </c>
      <c r="C15" s="26" t="str">
        <f ca="1">IFERROR(INDEX(FREIGHT!$D:$D,$B15),"")</f>
        <v/>
      </c>
      <c r="D15" s="27" t="str">
        <f ca="1">IFERROR(INDEX(FREIGHT!$I:$I,$B15),"")</f>
        <v/>
      </c>
      <c r="E15" s="27" t="str">
        <f ca="1">IFERROR(INDEX(FREIGHT!$J:$J,$B15),"")</f>
        <v/>
      </c>
      <c r="F15" s="27" t="str">
        <f ca="1">IFERROR(INDEX(FREIGHT!$K:$K,$B15),"")</f>
        <v/>
      </c>
      <c r="G15" s="27" t="str">
        <f ca="1">IFERROR(INDEX(FREIGHT!$L:$L,$B15),"")</f>
        <v/>
      </c>
      <c r="H15" s="32" t="str">
        <f ca="1">IFERROR(INDEX(FREIGHT!$O:$O,$B15),"")</f>
        <v/>
      </c>
      <c r="I15" s="28" t="str">
        <f ca="1">IFERROR(INDEX(FREIGHT!$P:$P,$B15),"")</f>
        <v/>
      </c>
      <c r="J15" s="30" t="str">
        <f ca="1">IFERROR(INDEX(FREIGHT!$Q:$Q,$B15),"")</f>
        <v/>
      </c>
      <c r="K15" s="30" t="str">
        <f ca="1">IFERROR(INDEX(FREIGHT!$R:$R,$B15),"")</f>
        <v/>
      </c>
      <c r="L15" s="30" t="str">
        <f ca="1">IFERROR(INDEX(FREIGHT!$S:$S,$B15),"")</f>
        <v/>
      </c>
      <c r="M15" s="30" t="str">
        <f ca="1">IFERROR(INDEX(FREIGHT!$T:$T,$B15),"")</f>
        <v/>
      </c>
      <c r="N15" s="30" t="str">
        <f ca="1">IFERROR(INDEX(FREIGHT!$U:$U,$B15),"")</f>
        <v/>
      </c>
      <c r="O15" s="26" t="str">
        <f ca="1">IFERROR(INDEX(FREIGHT!$E:$E,$B15),"")</f>
        <v/>
      </c>
    </row>
    <row r="16" spans="1:20" ht="12.6" customHeight="1" x14ac:dyDescent="0.3">
      <c r="A16" s="16">
        <f ca="1">SUBTOTAL(3,C$6:C16)</f>
        <v>11</v>
      </c>
      <c r="B16" s="25" t="e">
        <f ca="1">MATCH($E$2,OFFSET(FREIGHT!$A$1,B15,0,1000,1),0)+B15</f>
        <v>#N/A</v>
      </c>
      <c r="C16" s="26" t="str">
        <f ca="1">IFERROR(INDEX(FREIGHT!$D:$D,$B16),"")</f>
        <v/>
      </c>
      <c r="D16" s="27" t="str">
        <f ca="1">IFERROR(INDEX(FREIGHT!$I:$I,$B16),"")</f>
        <v/>
      </c>
      <c r="E16" s="27" t="str">
        <f ca="1">IFERROR(INDEX(FREIGHT!$J:$J,$B16),"")</f>
        <v/>
      </c>
      <c r="F16" s="27" t="str">
        <f ca="1">IFERROR(INDEX(FREIGHT!$K:$K,$B16),"")</f>
        <v/>
      </c>
      <c r="G16" s="27" t="str">
        <f ca="1">IFERROR(INDEX(FREIGHT!$L:$L,$B16),"")</f>
        <v/>
      </c>
      <c r="H16" s="32" t="str">
        <f ca="1">IFERROR(INDEX(FREIGHT!$O:$O,$B16),"")</f>
        <v/>
      </c>
      <c r="I16" s="28" t="str">
        <f ca="1">IFERROR(INDEX(FREIGHT!$P:$P,$B16),"")</f>
        <v/>
      </c>
      <c r="J16" s="30" t="str">
        <f ca="1">IFERROR(INDEX(FREIGHT!$Q:$Q,$B16),"")</f>
        <v/>
      </c>
      <c r="K16" s="30" t="str">
        <f ca="1">IFERROR(INDEX(FREIGHT!$R:$R,$B16),"")</f>
        <v/>
      </c>
      <c r="L16" s="30" t="str">
        <f ca="1">IFERROR(INDEX(FREIGHT!$S:$S,$B16),"")</f>
        <v/>
      </c>
      <c r="M16" s="30" t="str">
        <f ca="1">IFERROR(INDEX(FREIGHT!$T:$T,$B16),"")</f>
        <v/>
      </c>
      <c r="N16" s="30" t="str">
        <f ca="1">IFERROR(INDEX(FREIGHT!$U:$U,$B16),"")</f>
        <v/>
      </c>
      <c r="O16" s="26" t="str">
        <f ca="1">IFERROR(INDEX(FREIGHT!$E:$E,$B16),"")</f>
        <v/>
      </c>
    </row>
    <row r="17" spans="1:15" ht="12.6" customHeight="1" x14ac:dyDescent="0.3">
      <c r="A17" s="16">
        <f ca="1">SUBTOTAL(3,C$6:C17)</f>
        <v>12</v>
      </c>
      <c r="B17" s="25" t="e">
        <f ca="1">MATCH($E$2,OFFSET(FREIGHT!$A$1,B16,0,1000,1),0)+B16</f>
        <v>#N/A</v>
      </c>
      <c r="C17" s="26" t="str">
        <f ca="1">IFERROR(INDEX(FREIGHT!$D:$D,$B17),"")</f>
        <v/>
      </c>
      <c r="D17" s="27" t="str">
        <f ca="1">IFERROR(INDEX(FREIGHT!$I:$I,$B17),"")</f>
        <v/>
      </c>
      <c r="E17" s="27" t="str">
        <f ca="1">IFERROR(INDEX(FREIGHT!$J:$J,$B17),"")</f>
        <v/>
      </c>
      <c r="F17" s="27" t="str">
        <f ca="1">IFERROR(INDEX(FREIGHT!$K:$K,$B17),"")</f>
        <v/>
      </c>
      <c r="G17" s="27" t="str">
        <f ca="1">IFERROR(INDEX(FREIGHT!$L:$L,$B17),"")</f>
        <v/>
      </c>
      <c r="H17" s="32" t="str">
        <f ca="1">IFERROR(INDEX(FREIGHT!$O:$O,$B17),"")</f>
        <v/>
      </c>
      <c r="I17" s="28" t="str">
        <f ca="1">IFERROR(INDEX(FREIGHT!$P:$P,$B17),"")</f>
        <v/>
      </c>
      <c r="J17" s="30" t="str">
        <f ca="1">IFERROR(INDEX(FREIGHT!$Q:$Q,$B17),"")</f>
        <v/>
      </c>
      <c r="K17" s="30" t="str">
        <f ca="1">IFERROR(INDEX(FREIGHT!$R:$R,$B17),"")</f>
        <v/>
      </c>
      <c r="L17" s="30" t="str">
        <f ca="1">IFERROR(INDEX(FREIGHT!$S:$S,$B17),"")</f>
        <v/>
      </c>
      <c r="M17" s="30" t="str">
        <f ca="1">IFERROR(INDEX(FREIGHT!$T:$T,$B17),"")</f>
        <v/>
      </c>
      <c r="N17" s="30" t="str">
        <f ca="1">IFERROR(INDEX(FREIGHT!$U:$U,$B17),"")</f>
        <v/>
      </c>
      <c r="O17" s="26" t="str">
        <f ca="1">IFERROR(INDEX(FREIGHT!$E:$E,$B17),"")</f>
        <v/>
      </c>
    </row>
    <row r="18" spans="1:15" ht="12.6" customHeight="1" x14ac:dyDescent="0.3">
      <c r="A18" s="16">
        <f ca="1">SUBTOTAL(3,C$6:C18)</f>
        <v>13</v>
      </c>
      <c r="B18" s="25" t="e">
        <f ca="1">MATCH($E$2,OFFSET(FREIGHT!$A$1,B17,0,1000,1),0)+B17</f>
        <v>#N/A</v>
      </c>
      <c r="C18" s="26" t="str">
        <f ca="1">IFERROR(INDEX(FREIGHT!$D:$D,$B18),"")</f>
        <v/>
      </c>
      <c r="D18" s="27" t="str">
        <f ca="1">IFERROR(INDEX(FREIGHT!$I:$I,$B18),"")</f>
        <v/>
      </c>
      <c r="E18" s="27" t="str">
        <f ca="1">IFERROR(INDEX(FREIGHT!$J:$J,$B18),"")</f>
        <v/>
      </c>
      <c r="F18" s="27" t="str">
        <f ca="1">IFERROR(INDEX(FREIGHT!$K:$K,$B18),"")</f>
        <v/>
      </c>
      <c r="G18" s="27" t="str">
        <f ca="1">IFERROR(INDEX(FREIGHT!$L:$L,$B18),"")</f>
        <v/>
      </c>
      <c r="H18" s="32" t="str">
        <f ca="1">IFERROR(INDEX(FREIGHT!$O:$O,$B18),"")</f>
        <v/>
      </c>
      <c r="I18" s="28" t="str">
        <f ca="1">IFERROR(INDEX(FREIGHT!$P:$P,$B18),"")</f>
        <v/>
      </c>
      <c r="J18" s="30" t="str">
        <f ca="1">IFERROR(INDEX(FREIGHT!$Q:$Q,$B18),"")</f>
        <v/>
      </c>
      <c r="K18" s="30" t="str">
        <f ca="1">IFERROR(INDEX(FREIGHT!$R:$R,$B18),"")</f>
        <v/>
      </c>
      <c r="L18" s="30" t="str">
        <f ca="1">IFERROR(INDEX(FREIGHT!$S:$S,$B18),"")</f>
        <v/>
      </c>
      <c r="M18" s="30" t="str">
        <f ca="1">IFERROR(INDEX(FREIGHT!$T:$T,$B18),"")</f>
        <v/>
      </c>
      <c r="N18" s="30" t="str">
        <f ca="1">IFERROR(INDEX(FREIGHT!$U:$U,$B18),"")</f>
        <v/>
      </c>
      <c r="O18" s="26" t="str">
        <f ca="1">IFERROR(INDEX(FREIGHT!$E:$E,$B18),"")</f>
        <v/>
      </c>
    </row>
    <row r="19" spans="1:15" ht="12.6" customHeight="1" x14ac:dyDescent="0.3">
      <c r="A19" s="16">
        <f ca="1">SUBTOTAL(3,C$6:C19)</f>
        <v>14</v>
      </c>
      <c r="B19" s="25" t="e">
        <f ca="1">MATCH($E$2,OFFSET(FREIGHT!$A$1,B18,0,1000,1),0)+B18</f>
        <v>#N/A</v>
      </c>
      <c r="C19" s="26" t="str">
        <f ca="1">IFERROR(INDEX(FREIGHT!$D:$D,$B19),"")</f>
        <v/>
      </c>
      <c r="D19" s="27" t="str">
        <f ca="1">IFERROR(INDEX(FREIGHT!$I:$I,$B19),"")</f>
        <v/>
      </c>
      <c r="E19" s="27" t="str">
        <f ca="1">IFERROR(INDEX(FREIGHT!$J:$J,$B19),"")</f>
        <v/>
      </c>
      <c r="F19" s="27" t="str">
        <f ca="1">IFERROR(INDEX(FREIGHT!$K:$K,$B19),"")</f>
        <v/>
      </c>
      <c r="G19" s="27" t="str">
        <f ca="1">IFERROR(INDEX(FREIGHT!$L:$L,$B19),"")</f>
        <v/>
      </c>
      <c r="H19" s="32" t="str">
        <f ca="1">IFERROR(INDEX(FREIGHT!$O:$O,$B19),"")</f>
        <v/>
      </c>
      <c r="I19" s="28" t="str">
        <f ca="1">IFERROR(INDEX(FREIGHT!$P:$P,$B19),"")</f>
        <v/>
      </c>
      <c r="J19" s="30" t="str">
        <f ca="1">IFERROR(INDEX(FREIGHT!$Q:$Q,$B19),"")</f>
        <v/>
      </c>
      <c r="K19" s="30" t="str">
        <f ca="1">IFERROR(INDEX(FREIGHT!$R:$R,$B19),"")</f>
        <v/>
      </c>
      <c r="L19" s="30" t="str">
        <f ca="1">IFERROR(INDEX(FREIGHT!$S:$S,$B19),"")</f>
        <v/>
      </c>
      <c r="M19" s="30" t="str">
        <f ca="1">IFERROR(INDEX(FREIGHT!$T:$T,$B19),"")</f>
        <v/>
      </c>
      <c r="N19" s="30" t="str">
        <f ca="1">IFERROR(INDEX(FREIGHT!$U:$U,$B19),"")</f>
        <v/>
      </c>
      <c r="O19" s="26" t="str">
        <f ca="1">IFERROR(INDEX(FREIGHT!$E:$E,$B19),"")</f>
        <v/>
      </c>
    </row>
    <row r="20" spans="1:15" ht="12.6" customHeight="1" x14ac:dyDescent="0.3">
      <c r="A20" s="16">
        <f ca="1">SUBTOTAL(3,C$6:C20)</f>
        <v>15</v>
      </c>
      <c r="B20" s="25" t="e">
        <f ca="1">MATCH($E$2,OFFSET(FREIGHT!$A$1,B19,0,1000,1),0)+B19</f>
        <v>#N/A</v>
      </c>
      <c r="C20" s="26" t="str">
        <f ca="1">IFERROR(INDEX(FREIGHT!$D:$D,$B20),"")</f>
        <v/>
      </c>
      <c r="D20" s="27" t="str">
        <f ca="1">IFERROR(INDEX(FREIGHT!$I:$I,$B20),"")</f>
        <v/>
      </c>
      <c r="E20" s="27" t="str">
        <f ca="1">IFERROR(INDEX(FREIGHT!$J:$J,$B20),"")</f>
        <v/>
      </c>
      <c r="F20" s="27" t="str">
        <f ca="1">IFERROR(INDEX(FREIGHT!$K:$K,$B20),"")</f>
        <v/>
      </c>
      <c r="G20" s="27" t="str">
        <f ca="1">IFERROR(INDEX(FREIGHT!$L:$L,$B20),"")</f>
        <v/>
      </c>
      <c r="H20" s="32" t="str">
        <f ca="1">IFERROR(INDEX(FREIGHT!$O:$O,$B20),"")</f>
        <v/>
      </c>
      <c r="I20" s="28" t="str">
        <f ca="1">IFERROR(INDEX(FREIGHT!$P:$P,$B20),"")</f>
        <v/>
      </c>
      <c r="J20" s="30" t="str">
        <f ca="1">IFERROR(INDEX(FREIGHT!$Q:$Q,$B20),"")</f>
        <v/>
      </c>
      <c r="K20" s="30" t="str">
        <f ca="1">IFERROR(INDEX(FREIGHT!$R:$R,$B20),"")</f>
        <v/>
      </c>
      <c r="L20" s="30" t="str">
        <f ca="1">IFERROR(INDEX(FREIGHT!$S:$S,$B20),"")</f>
        <v/>
      </c>
      <c r="M20" s="30" t="str">
        <f ca="1">IFERROR(INDEX(FREIGHT!$T:$T,$B20),"")</f>
        <v/>
      </c>
      <c r="N20" s="30" t="str">
        <f ca="1">IFERROR(INDEX(FREIGHT!$U:$U,$B20),"")</f>
        <v/>
      </c>
      <c r="O20" s="26" t="str">
        <f ca="1">IFERROR(INDEX(FREIGHT!$E:$E,$B20),"")</f>
        <v/>
      </c>
    </row>
    <row r="21" spans="1:15" ht="12.6" customHeight="1" x14ac:dyDescent="0.3">
      <c r="A21" s="16">
        <f ca="1">SUBTOTAL(3,C$6:C21)</f>
        <v>16</v>
      </c>
      <c r="B21" s="25" t="e">
        <f ca="1">MATCH($E$2,OFFSET(FREIGHT!$A$1,B20,0,1000,1),0)+B20</f>
        <v>#N/A</v>
      </c>
      <c r="C21" s="26" t="str">
        <f ca="1">IFERROR(INDEX(FREIGHT!$D:$D,$B21),"")</f>
        <v/>
      </c>
      <c r="D21" s="27" t="str">
        <f ca="1">IFERROR(INDEX(FREIGHT!$I:$I,$B21),"")</f>
        <v/>
      </c>
      <c r="E21" s="27" t="str">
        <f ca="1">IFERROR(INDEX(FREIGHT!$J:$J,$B21),"")</f>
        <v/>
      </c>
      <c r="F21" s="27" t="str">
        <f ca="1">IFERROR(INDEX(FREIGHT!$K:$K,$B21),"")</f>
        <v/>
      </c>
      <c r="G21" s="27" t="str">
        <f ca="1">IFERROR(INDEX(FREIGHT!$L:$L,$B21),"")</f>
        <v/>
      </c>
      <c r="H21" s="32" t="str">
        <f ca="1">IFERROR(INDEX(FREIGHT!$O:$O,$B21),"")</f>
        <v/>
      </c>
      <c r="I21" s="28" t="str">
        <f ca="1">IFERROR(INDEX(FREIGHT!$P:$P,$B21),"")</f>
        <v/>
      </c>
      <c r="J21" s="30" t="str">
        <f ca="1">IFERROR(INDEX(FREIGHT!$Q:$Q,$B21),"")</f>
        <v/>
      </c>
      <c r="K21" s="30" t="str">
        <f ca="1">IFERROR(INDEX(FREIGHT!$R:$R,$B21),"")</f>
        <v/>
      </c>
      <c r="L21" s="30" t="str">
        <f ca="1">IFERROR(INDEX(FREIGHT!$S:$S,$B21),"")</f>
        <v/>
      </c>
      <c r="M21" s="30" t="str">
        <f ca="1">IFERROR(INDEX(FREIGHT!$T:$T,$B21),"")</f>
        <v/>
      </c>
      <c r="N21" s="30" t="str">
        <f ca="1">IFERROR(INDEX(FREIGHT!$U:$U,$B21),"")</f>
        <v/>
      </c>
      <c r="O21" s="26" t="str">
        <f ca="1">IFERROR(INDEX(FREIGHT!$E:$E,$B21),"")</f>
        <v/>
      </c>
    </row>
    <row r="22" spans="1:15" ht="12.6" customHeight="1" x14ac:dyDescent="0.3">
      <c r="A22" s="16">
        <f ca="1">SUBTOTAL(3,C$6:C22)</f>
        <v>17</v>
      </c>
      <c r="B22" s="25" t="e">
        <f ca="1">MATCH($E$2,OFFSET(FREIGHT!$A$1,B21,0,1000,1),0)+B21</f>
        <v>#N/A</v>
      </c>
      <c r="C22" s="26" t="str">
        <f ca="1">IFERROR(INDEX(FREIGHT!$D:$D,$B22),"")</f>
        <v/>
      </c>
      <c r="D22" s="27" t="str">
        <f ca="1">IFERROR(INDEX(FREIGHT!$I:$I,$B22),"")</f>
        <v/>
      </c>
      <c r="E22" s="27" t="str">
        <f ca="1">IFERROR(INDEX(FREIGHT!$J:$J,$B22),"")</f>
        <v/>
      </c>
      <c r="F22" s="27" t="str">
        <f ca="1">IFERROR(INDEX(FREIGHT!$K:$K,$B22),"")</f>
        <v/>
      </c>
      <c r="G22" s="27" t="str">
        <f ca="1">IFERROR(INDEX(FREIGHT!$L:$L,$B22),"")</f>
        <v/>
      </c>
      <c r="H22" s="32" t="str">
        <f ca="1">IFERROR(INDEX(FREIGHT!$O:$O,$B22),"")</f>
        <v/>
      </c>
      <c r="I22" s="28" t="str">
        <f ca="1">IFERROR(INDEX(FREIGHT!$P:$P,$B22),"")</f>
        <v/>
      </c>
      <c r="J22" s="30" t="str">
        <f ca="1">IFERROR(INDEX(FREIGHT!$Q:$Q,$B22),"")</f>
        <v/>
      </c>
      <c r="K22" s="30" t="str">
        <f ca="1">IFERROR(INDEX(FREIGHT!$R:$R,$B22),"")</f>
        <v/>
      </c>
      <c r="L22" s="30" t="str">
        <f ca="1">IFERROR(INDEX(FREIGHT!$S:$S,$B22),"")</f>
        <v/>
      </c>
      <c r="M22" s="30" t="str">
        <f ca="1">IFERROR(INDEX(FREIGHT!$T:$T,$B22),"")</f>
        <v/>
      </c>
      <c r="N22" s="30" t="str">
        <f ca="1">IFERROR(INDEX(FREIGHT!$U:$U,$B22),"")</f>
        <v/>
      </c>
      <c r="O22" s="26" t="str">
        <f ca="1">IFERROR(INDEX(FREIGHT!$E:$E,$B22),"")</f>
        <v/>
      </c>
    </row>
    <row r="23" spans="1:15" ht="12.6" customHeight="1" x14ac:dyDescent="0.3">
      <c r="A23" s="16">
        <f ca="1">SUBTOTAL(3,C$6:C23)</f>
        <v>18</v>
      </c>
      <c r="B23" s="25" t="e">
        <f ca="1">MATCH($E$2,OFFSET(FREIGHT!$A$1,B22,0,1000,1),0)+B22</f>
        <v>#N/A</v>
      </c>
      <c r="C23" s="26" t="str">
        <f ca="1">IFERROR(INDEX(FREIGHT!$D:$D,$B23),"")</f>
        <v/>
      </c>
      <c r="D23" s="27" t="str">
        <f ca="1">IFERROR(INDEX(FREIGHT!$I:$I,$B23),"")</f>
        <v/>
      </c>
      <c r="E23" s="27" t="str">
        <f ca="1">IFERROR(INDEX(FREIGHT!$J:$J,$B23),"")</f>
        <v/>
      </c>
      <c r="F23" s="27" t="str">
        <f ca="1">IFERROR(INDEX(FREIGHT!$K:$K,$B23),"")</f>
        <v/>
      </c>
      <c r="G23" s="27" t="str">
        <f ca="1">IFERROR(INDEX(FREIGHT!$L:$L,$B23),"")</f>
        <v/>
      </c>
      <c r="H23" s="32" t="str">
        <f ca="1">IFERROR(INDEX(FREIGHT!$O:$O,$B23),"")</f>
        <v/>
      </c>
      <c r="I23" s="28" t="str">
        <f ca="1">IFERROR(INDEX(FREIGHT!$P:$P,$B23),"")</f>
        <v/>
      </c>
      <c r="J23" s="30" t="str">
        <f ca="1">IFERROR(INDEX(FREIGHT!$Q:$Q,$B23),"")</f>
        <v/>
      </c>
      <c r="K23" s="30" t="str">
        <f ca="1">IFERROR(INDEX(FREIGHT!$R:$R,$B23),"")</f>
        <v/>
      </c>
      <c r="L23" s="30" t="str">
        <f ca="1">IFERROR(INDEX(FREIGHT!$S:$S,$B23),"")</f>
        <v/>
      </c>
      <c r="M23" s="30" t="str">
        <f ca="1">IFERROR(INDEX(FREIGHT!$T:$T,$B23),"")</f>
        <v/>
      </c>
      <c r="N23" s="30" t="str">
        <f ca="1">IFERROR(INDEX(FREIGHT!$U:$U,$B23),"")</f>
        <v/>
      </c>
      <c r="O23" s="26" t="str">
        <f ca="1">IFERROR(INDEX(FREIGHT!$E:$E,$B23),"")</f>
        <v/>
      </c>
    </row>
    <row r="24" spans="1:15" ht="12.6" customHeight="1" x14ac:dyDescent="0.3">
      <c r="A24" s="16">
        <f ca="1">SUBTOTAL(3,C$6:C24)</f>
        <v>19</v>
      </c>
      <c r="B24" s="25" t="e">
        <f ca="1">MATCH($E$2,OFFSET(FREIGHT!$A$1,B23,0,1000,1),0)+B23</f>
        <v>#N/A</v>
      </c>
      <c r="C24" s="26" t="str">
        <f ca="1">IFERROR(INDEX(FREIGHT!$D:$D,$B24),"")</f>
        <v/>
      </c>
      <c r="D24" s="27" t="str">
        <f ca="1">IFERROR(INDEX(FREIGHT!$I:$I,$B24),"")</f>
        <v/>
      </c>
      <c r="E24" s="27" t="str">
        <f ca="1">IFERROR(INDEX(FREIGHT!$J:$J,$B24),"")</f>
        <v/>
      </c>
      <c r="F24" s="27" t="str">
        <f ca="1">IFERROR(INDEX(FREIGHT!$K:$K,$B24),"")</f>
        <v/>
      </c>
      <c r="G24" s="27" t="str">
        <f ca="1">IFERROR(INDEX(FREIGHT!$L:$L,$B24),"")</f>
        <v/>
      </c>
      <c r="H24" s="32" t="str">
        <f ca="1">IFERROR(INDEX(FREIGHT!$O:$O,$B24),"")</f>
        <v/>
      </c>
      <c r="I24" s="28" t="str">
        <f ca="1">IFERROR(INDEX(FREIGHT!$P:$P,$B24),"")</f>
        <v/>
      </c>
      <c r="J24" s="30" t="str">
        <f ca="1">IFERROR(INDEX(FREIGHT!$Q:$Q,$B24),"")</f>
        <v/>
      </c>
      <c r="K24" s="30" t="str">
        <f ca="1">IFERROR(INDEX(FREIGHT!$R:$R,$B24),"")</f>
        <v/>
      </c>
      <c r="L24" s="30" t="str">
        <f ca="1">IFERROR(INDEX(FREIGHT!$S:$S,$B24),"")</f>
        <v/>
      </c>
      <c r="M24" s="30" t="str">
        <f ca="1">IFERROR(INDEX(FREIGHT!$T:$T,$B24),"")</f>
        <v/>
      </c>
      <c r="N24" s="30" t="str">
        <f ca="1">IFERROR(INDEX(FREIGHT!$U:$U,$B24),"")</f>
        <v/>
      </c>
      <c r="O24" s="26" t="str">
        <f ca="1">IFERROR(INDEX(FREIGHT!$E:$E,$B24),"")</f>
        <v/>
      </c>
    </row>
    <row r="25" spans="1:15" ht="12.6" customHeight="1" x14ac:dyDescent="0.3">
      <c r="A25" s="16">
        <f ca="1">SUBTOTAL(3,C$6:C25)</f>
        <v>20</v>
      </c>
      <c r="B25" s="25" t="e">
        <f ca="1">MATCH($E$2,OFFSET(FREIGHT!$A$1,B24,0,1000,1),0)+B24</f>
        <v>#N/A</v>
      </c>
      <c r="C25" s="26" t="str">
        <f ca="1">IFERROR(INDEX(FREIGHT!$D:$D,$B25),"")</f>
        <v/>
      </c>
      <c r="D25" s="27" t="str">
        <f ca="1">IFERROR(INDEX(FREIGHT!$I:$I,$B25),"")</f>
        <v/>
      </c>
      <c r="E25" s="27" t="str">
        <f ca="1">IFERROR(INDEX(FREIGHT!$J:$J,$B25),"")</f>
        <v/>
      </c>
      <c r="F25" s="27" t="str">
        <f ca="1">IFERROR(INDEX(FREIGHT!$K:$K,$B25),"")</f>
        <v/>
      </c>
      <c r="G25" s="27" t="str">
        <f ca="1">IFERROR(INDEX(FREIGHT!$L:$L,$B25),"")</f>
        <v/>
      </c>
      <c r="H25" s="32" t="str">
        <f ca="1">IFERROR(INDEX(FREIGHT!$O:$O,$B25),"")</f>
        <v/>
      </c>
      <c r="I25" s="28" t="str">
        <f ca="1">IFERROR(INDEX(FREIGHT!$P:$P,$B25),"")</f>
        <v/>
      </c>
      <c r="J25" s="30" t="str">
        <f ca="1">IFERROR(INDEX(FREIGHT!$Q:$Q,$B25),"")</f>
        <v/>
      </c>
      <c r="K25" s="30" t="str">
        <f ca="1">IFERROR(INDEX(FREIGHT!$R:$R,$B25),"")</f>
        <v/>
      </c>
      <c r="L25" s="30" t="str">
        <f ca="1">IFERROR(INDEX(FREIGHT!$S:$S,$B25),"")</f>
        <v/>
      </c>
      <c r="M25" s="30" t="str">
        <f ca="1">IFERROR(INDEX(FREIGHT!$T:$T,$B25),"")</f>
        <v/>
      </c>
      <c r="N25" s="30" t="str">
        <f ca="1">IFERROR(INDEX(FREIGHT!$U:$U,$B25),"")</f>
        <v/>
      </c>
      <c r="O25" s="26" t="str">
        <f ca="1">IFERROR(INDEX(FREIGHT!$E:$E,$B25),"")</f>
        <v/>
      </c>
    </row>
    <row r="26" spans="1:15" ht="12.6" customHeight="1" x14ac:dyDescent="0.3">
      <c r="A26" s="16">
        <f ca="1">SUBTOTAL(3,C$6:C26)</f>
        <v>21</v>
      </c>
      <c r="B26" s="25" t="e">
        <f ca="1">MATCH($E$2,OFFSET(FREIGHT!$A$1,B25,0,1000,1),0)+B25</f>
        <v>#N/A</v>
      </c>
      <c r="C26" s="26" t="str">
        <f ca="1">IFERROR(INDEX(FREIGHT!$D:$D,$B26),"")</f>
        <v/>
      </c>
      <c r="D26" s="27" t="str">
        <f ca="1">IFERROR(INDEX(FREIGHT!$I:$I,$B26),"")</f>
        <v/>
      </c>
      <c r="E26" s="27" t="str">
        <f ca="1">IFERROR(INDEX(FREIGHT!$J:$J,$B26),"")</f>
        <v/>
      </c>
      <c r="F26" s="27" t="str">
        <f ca="1">IFERROR(INDEX(FREIGHT!$K:$K,$B26),"")</f>
        <v/>
      </c>
      <c r="G26" s="27" t="str">
        <f ca="1">IFERROR(INDEX(FREIGHT!$L:$L,$B26),"")</f>
        <v/>
      </c>
      <c r="H26" s="32" t="str">
        <f ca="1">IFERROR(INDEX(FREIGHT!$O:$O,$B26),"")</f>
        <v/>
      </c>
      <c r="I26" s="28" t="str">
        <f ca="1">IFERROR(INDEX(FREIGHT!$P:$P,$B26),"")</f>
        <v/>
      </c>
      <c r="J26" s="30" t="str">
        <f ca="1">IFERROR(INDEX(FREIGHT!$Q:$Q,$B26),"")</f>
        <v/>
      </c>
      <c r="K26" s="30" t="str">
        <f ca="1">IFERROR(INDEX(FREIGHT!$R:$R,$B26),"")</f>
        <v/>
      </c>
      <c r="L26" s="30" t="str">
        <f ca="1">IFERROR(INDEX(FREIGHT!$S:$S,$B26),"")</f>
        <v/>
      </c>
      <c r="M26" s="30" t="str">
        <f ca="1">IFERROR(INDEX(FREIGHT!$T:$T,$B26),"")</f>
        <v/>
      </c>
      <c r="N26" s="30" t="str">
        <f ca="1">IFERROR(INDEX(FREIGHT!$U:$U,$B26),"")</f>
        <v/>
      </c>
      <c r="O26" s="26" t="str">
        <f ca="1">IFERROR(INDEX(FREIGHT!$E:$E,$B26),"")</f>
        <v/>
      </c>
    </row>
    <row r="27" spans="1:15" ht="12.6" customHeight="1" x14ac:dyDescent="0.3">
      <c r="A27" s="16">
        <f ca="1">SUBTOTAL(3,C$6:C27)</f>
        <v>22</v>
      </c>
      <c r="B27" s="25" t="e">
        <f ca="1">MATCH($E$2,OFFSET(FREIGHT!$A$1,B26,0,1000,1),0)+B26</f>
        <v>#N/A</v>
      </c>
      <c r="C27" s="26" t="str">
        <f ca="1">IFERROR(INDEX(FREIGHT!$D:$D,$B27),"")</f>
        <v/>
      </c>
      <c r="D27" s="27" t="str">
        <f ca="1">IFERROR(INDEX(FREIGHT!$I:$I,$B27),"")</f>
        <v/>
      </c>
      <c r="E27" s="27" t="str">
        <f ca="1">IFERROR(INDEX(FREIGHT!$J:$J,$B27),"")</f>
        <v/>
      </c>
      <c r="F27" s="27" t="str">
        <f ca="1">IFERROR(INDEX(FREIGHT!$K:$K,$B27),"")</f>
        <v/>
      </c>
      <c r="G27" s="27" t="str">
        <f ca="1">IFERROR(INDEX(FREIGHT!$L:$L,$B27),"")</f>
        <v/>
      </c>
      <c r="H27" s="32" t="str">
        <f ca="1">IFERROR(INDEX(FREIGHT!$O:$O,$B27),"")</f>
        <v/>
      </c>
      <c r="I27" s="28" t="str">
        <f ca="1">IFERROR(INDEX(FREIGHT!$P:$P,$B27),"")</f>
        <v/>
      </c>
      <c r="J27" s="30" t="str">
        <f ca="1">IFERROR(INDEX(FREIGHT!$Q:$Q,$B27),"")</f>
        <v/>
      </c>
      <c r="K27" s="30" t="str">
        <f ca="1">IFERROR(INDEX(FREIGHT!$R:$R,$B27),"")</f>
        <v/>
      </c>
      <c r="L27" s="30" t="str">
        <f ca="1">IFERROR(INDEX(FREIGHT!$S:$S,$B27),"")</f>
        <v/>
      </c>
      <c r="M27" s="30" t="str">
        <f ca="1">IFERROR(INDEX(FREIGHT!$T:$T,$B27),"")</f>
        <v/>
      </c>
      <c r="N27" s="30" t="str">
        <f ca="1">IFERROR(INDEX(FREIGHT!$U:$U,$B27),"")</f>
        <v/>
      </c>
      <c r="O27" s="26" t="str">
        <f ca="1">IFERROR(INDEX(FREIGHT!$E:$E,$B27),"")</f>
        <v/>
      </c>
    </row>
    <row r="28" spans="1:15" ht="12.6" customHeight="1" x14ac:dyDescent="0.3">
      <c r="A28" s="16">
        <f ca="1">SUBTOTAL(3,C$6:C28)</f>
        <v>23</v>
      </c>
      <c r="B28" s="25" t="e">
        <f ca="1">MATCH($E$2,OFFSET(FREIGHT!$A$1,B27,0,1000,1),0)+B27</f>
        <v>#N/A</v>
      </c>
      <c r="C28" s="26" t="str">
        <f ca="1">IFERROR(INDEX(FREIGHT!$D:$D,$B28),"")</f>
        <v/>
      </c>
      <c r="D28" s="27" t="str">
        <f ca="1">IFERROR(INDEX(FREIGHT!$I:$I,$B28),"")</f>
        <v/>
      </c>
      <c r="E28" s="27" t="str">
        <f ca="1">IFERROR(INDEX(FREIGHT!$J:$J,$B28),"")</f>
        <v/>
      </c>
      <c r="F28" s="27" t="str">
        <f ca="1">IFERROR(INDEX(FREIGHT!$K:$K,$B28),"")</f>
        <v/>
      </c>
      <c r="G28" s="27" t="str">
        <f ca="1">IFERROR(INDEX(FREIGHT!$L:$L,$B28),"")</f>
        <v/>
      </c>
      <c r="H28" s="32" t="str">
        <f ca="1">IFERROR(INDEX(FREIGHT!$O:$O,$B28),"")</f>
        <v/>
      </c>
      <c r="I28" s="28" t="str">
        <f ca="1">IFERROR(INDEX(FREIGHT!$P:$P,$B28),"")</f>
        <v/>
      </c>
      <c r="J28" s="30" t="str">
        <f ca="1">IFERROR(INDEX(FREIGHT!$Q:$Q,$B28),"")</f>
        <v/>
      </c>
      <c r="K28" s="30" t="str">
        <f ca="1">IFERROR(INDEX(FREIGHT!$R:$R,$B28),"")</f>
        <v/>
      </c>
      <c r="L28" s="30" t="str">
        <f ca="1">IFERROR(INDEX(FREIGHT!$S:$S,$B28),"")</f>
        <v/>
      </c>
      <c r="M28" s="30" t="str">
        <f ca="1">IFERROR(INDEX(FREIGHT!$T:$T,$B28),"")</f>
        <v/>
      </c>
      <c r="N28" s="30" t="str">
        <f ca="1">IFERROR(INDEX(FREIGHT!$U:$U,$B28),"")</f>
        <v/>
      </c>
      <c r="O28" s="26" t="str">
        <f ca="1">IFERROR(INDEX(FREIGHT!$E:$E,$B28),"")</f>
        <v/>
      </c>
    </row>
    <row r="29" spans="1:15" ht="12.6" customHeight="1" x14ac:dyDescent="0.3">
      <c r="A29" s="16">
        <f ca="1">SUBTOTAL(3,C$6:C29)</f>
        <v>24</v>
      </c>
      <c r="B29" s="25" t="e">
        <f ca="1">MATCH($E$2,OFFSET(FREIGHT!$A$1,B28,0,1000,1),0)+B28</f>
        <v>#N/A</v>
      </c>
      <c r="C29" s="26" t="str">
        <f ca="1">IFERROR(INDEX(FREIGHT!$D:$D,$B29),"")</f>
        <v/>
      </c>
      <c r="D29" s="27" t="str">
        <f ca="1">IFERROR(INDEX(FREIGHT!$I:$I,$B29),"")</f>
        <v/>
      </c>
      <c r="E29" s="27" t="str">
        <f ca="1">IFERROR(INDEX(FREIGHT!$J:$J,$B29),"")</f>
        <v/>
      </c>
      <c r="F29" s="27" t="str">
        <f ca="1">IFERROR(INDEX(FREIGHT!$K:$K,$B29),"")</f>
        <v/>
      </c>
      <c r="G29" s="27" t="str">
        <f ca="1">IFERROR(INDEX(FREIGHT!$L:$L,$B29),"")</f>
        <v/>
      </c>
      <c r="H29" s="32" t="str">
        <f ca="1">IFERROR(INDEX(FREIGHT!$O:$O,$B29),"")</f>
        <v/>
      </c>
      <c r="I29" s="28" t="str">
        <f ca="1">IFERROR(INDEX(FREIGHT!$P:$P,$B29),"")</f>
        <v/>
      </c>
      <c r="J29" s="30" t="str">
        <f ca="1">IFERROR(INDEX(FREIGHT!$Q:$Q,$B29),"")</f>
        <v/>
      </c>
      <c r="K29" s="30" t="str">
        <f ca="1">IFERROR(INDEX(FREIGHT!$R:$R,$B29),"")</f>
        <v/>
      </c>
      <c r="L29" s="30" t="str">
        <f ca="1">IFERROR(INDEX(FREIGHT!$S:$S,$B29),"")</f>
        <v/>
      </c>
      <c r="M29" s="30" t="str">
        <f ca="1">IFERROR(INDEX(FREIGHT!$T:$T,$B29),"")</f>
        <v/>
      </c>
      <c r="N29" s="30" t="str">
        <f ca="1">IFERROR(INDEX(FREIGHT!$U:$U,$B29),"")</f>
        <v/>
      </c>
      <c r="O29" s="26" t="str">
        <f ca="1">IFERROR(INDEX(FREIGHT!$E:$E,$B29),"")</f>
        <v/>
      </c>
    </row>
    <row r="30" spans="1:15" ht="12.6" customHeight="1" x14ac:dyDescent="0.3">
      <c r="A30" s="16">
        <f ca="1">SUBTOTAL(3,C$6:C30)</f>
        <v>25</v>
      </c>
      <c r="B30" s="25" t="e">
        <f ca="1">MATCH($E$2,OFFSET(FREIGHT!$A$1,B29,0,1000,1),0)+B29</f>
        <v>#N/A</v>
      </c>
      <c r="C30" s="26" t="str">
        <f ca="1">IFERROR(INDEX(FREIGHT!$D:$D,$B30),"")</f>
        <v/>
      </c>
      <c r="D30" s="27" t="str">
        <f ca="1">IFERROR(INDEX(FREIGHT!$I:$I,$B30),"")</f>
        <v/>
      </c>
      <c r="E30" s="27" t="str">
        <f ca="1">IFERROR(INDEX(FREIGHT!$J:$J,$B30),"")</f>
        <v/>
      </c>
      <c r="F30" s="27" t="str">
        <f ca="1">IFERROR(INDEX(FREIGHT!$K:$K,$B30),"")</f>
        <v/>
      </c>
      <c r="G30" s="27" t="str">
        <f ca="1">IFERROR(INDEX(FREIGHT!$L:$L,$B30),"")</f>
        <v/>
      </c>
      <c r="H30" s="32" t="str">
        <f ca="1">IFERROR(INDEX(FREIGHT!$O:$O,$B30),"")</f>
        <v/>
      </c>
      <c r="I30" s="28" t="str">
        <f ca="1">IFERROR(INDEX(FREIGHT!$P:$P,$B30),"")</f>
        <v/>
      </c>
      <c r="J30" s="30" t="str">
        <f ca="1">IFERROR(INDEX(FREIGHT!$Q:$Q,$B30),"")</f>
        <v/>
      </c>
      <c r="K30" s="30" t="str">
        <f ca="1">IFERROR(INDEX(FREIGHT!$R:$R,$B30),"")</f>
        <v/>
      </c>
      <c r="L30" s="30" t="str">
        <f ca="1">IFERROR(INDEX(FREIGHT!$S:$S,$B30),"")</f>
        <v/>
      </c>
      <c r="M30" s="30" t="str">
        <f ca="1">IFERROR(INDEX(FREIGHT!$T:$T,$B30),"")</f>
        <v/>
      </c>
      <c r="N30" s="30" t="str">
        <f ca="1">IFERROR(INDEX(FREIGHT!$U:$U,$B30),"")</f>
        <v/>
      </c>
      <c r="O30" s="26" t="str">
        <f ca="1">IFERROR(INDEX(FREIGHT!$E:$E,$B30),"")</f>
        <v/>
      </c>
    </row>
    <row r="31" spans="1:15" ht="12.6" customHeight="1" x14ac:dyDescent="0.3">
      <c r="A31" s="16">
        <f ca="1">SUBTOTAL(3,C$6:C31)</f>
        <v>26</v>
      </c>
      <c r="B31" s="25" t="e">
        <f ca="1">MATCH($E$2,OFFSET(FREIGHT!$A$1,B30,0,1000,1),0)+B30</f>
        <v>#N/A</v>
      </c>
      <c r="C31" s="26" t="str">
        <f ca="1">IFERROR(INDEX(FREIGHT!$D:$D,$B31),"")</f>
        <v/>
      </c>
      <c r="D31" s="27" t="str">
        <f ca="1">IFERROR(INDEX(FREIGHT!$I:$I,$B31),"")</f>
        <v/>
      </c>
      <c r="E31" s="27" t="str">
        <f ca="1">IFERROR(INDEX(FREIGHT!$J:$J,$B31),"")</f>
        <v/>
      </c>
      <c r="F31" s="27" t="str">
        <f ca="1">IFERROR(INDEX(FREIGHT!$K:$K,$B31),"")</f>
        <v/>
      </c>
      <c r="G31" s="27" t="str">
        <f ca="1">IFERROR(INDEX(FREIGHT!$L:$L,$B31),"")</f>
        <v/>
      </c>
      <c r="H31" s="32" t="str">
        <f ca="1">IFERROR(INDEX(FREIGHT!$O:$O,$B31),"")</f>
        <v/>
      </c>
      <c r="I31" s="28" t="str">
        <f ca="1">IFERROR(INDEX(FREIGHT!$P:$P,$B31),"")</f>
        <v/>
      </c>
      <c r="J31" s="30" t="str">
        <f ca="1">IFERROR(INDEX(FREIGHT!$Q:$Q,$B31),"")</f>
        <v/>
      </c>
      <c r="K31" s="30" t="str">
        <f ca="1">IFERROR(INDEX(FREIGHT!$R:$R,$B31),"")</f>
        <v/>
      </c>
      <c r="L31" s="30" t="str">
        <f ca="1">IFERROR(INDEX(FREIGHT!$S:$S,$B31),"")</f>
        <v/>
      </c>
      <c r="M31" s="30" t="str">
        <f ca="1">IFERROR(INDEX(FREIGHT!$T:$T,$B31),"")</f>
        <v/>
      </c>
      <c r="N31" s="30" t="str">
        <f ca="1">IFERROR(INDEX(FREIGHT!$U:$U,$B31),"")</f>
        <v/>
      </c>
      <c r="O31" s="26" t="str">
        <f ca="1">IFERROR(INDEX(FREIGHT!$E:$E,$B31),"")</f>
        <v/>
      </c>
    </row>
    <row r="32" spans="1:15" ht="12.6" customHeight="1" x14ac:dyDescent="0.3">
      <c r="A32" s="16">
        <f ca="1">SUBTOTAL(3,C$6:C32)</f>
        <v>27</v>
      </c>
      <c r="B32" s="25" t="e">
        <f ca="1">MATCH($E$2,OFFSET(FREIGHT!$A$1,B31,0,1000,1),0)+B31</f>
        <v>#N/A</v>
      </c>
      <c r="C32" s="26" t="str">
        <f ca="1">IFERROR(INDEX(FREIGHT!$D:$D,$B32),"")</f>
        <v/>
      </c>
      <c r="D32" s="27" t="str">
        <f ca="1">IFERROR(INDEX(FREIGHT!$I:$I,$B32),"")</f>
        <v/>
      </c>
      <c r="E32" s="27" t="str">
        <f ca="1">IFERROR(INDEX(FREIGHT!$J:$J,$B32),"")</f>
        <v/>
      </c>
      <c r="F32" s="27" t="str">
        <f ca="1">IFERROR(INDEX(FREIGHT!$K:$K,$B32),"")</f>
        <v/>
      </c>
      <c r="G32" s="27" t="str">
        <f ca="1">IFERROR(INDEX(FREIGHT!$L:$L,$B32),"")</f>
        <v/>
      </c>
      <c r="H32" s="32" t="str">
        <f ca="1">IFERROR(INDEX(FREIGHT!$O:$O,$B32),"")</f>
        <v/>
      </c>
      <c r="I32" s="28" t="str">
        <f ca="1">IFERROR(INDEX(FREIGHT!$P:$P,$B32),"")</f>
        <v/>
      </c>
      <c r="J32" s="30" t="str">
        <f ca="1">IFERROR(INDEX(FREIGHT!$Q:$Q,$B32),"")</f>
        <v/>
      </c>
      <c r="K32" s="30" t="str">
        <f ca="1">IFERROR(INDEX(FREIGHT!$R:$R,$B32),"")</f>
        <v/>
      </c>
      <c r="L32" s="30" t="str">
        <f ca="1">IFERROR(INDEX(FREIGHT!$S:$S,$B32),"")</f>
        <v/>
      </c>
      <c r="M32" s="30" t="str">
        <f ca="1">IFERROR(INDEX(FREIGHT!$T:$T,$B32),"")</f>
        <v/>
      </c>
      <c r="N32" s="30" t="str">
        <f ca="1">IFERROR(INDEX(FREIGHT!$U:$U,$B32),"")</f>
        <v/>
      </c>
      <c r="O32" s="26" t="str">
        <f ca="1">IFERROR(INDEX(FREIGHT!$E:$E,$B32),"")</f>
        <v/>
      </c>
    </row>
    <row r="33" spans="1:15" ht="12.6" customHeight="1" x14ac:dyDescent="0.3">
      <c r="A33" s="16">
        <f ca="1">SUBTOTAL(3,C$6:C33)</f>
        <v>28</v>
      </c>
      <c r="B33" s="25" t="e">
        <f ca="1">MATCH($E$2,OFFSET(FREIGHT!$A$1,B32,0,1000,1),0)+B32</f>
        <v>#N/A</v>
      </c>
      <c r="C33" s="26" t="str">
        <f ca="1">IFERROR(INDEX(FREIGHT!$D:$D,$B33),"")</f>
        <v/>
      </c>
      <c r="D33" s="27" t="str">
        <f ca="1">IFERROR(INDEX(FREIGHT!$I:$I,$B33),"")</f>
        <v/>
      </c>
      <c r="E33" s="27" t="str">
        <f ca="1">IFERROR(INDEX(FREIGHT!$J:$J,$B33),"")</f>
        <v/>
      </c>
      <c r="F33" s="27" t="str">
        <f ca="1">IFERROR(INDEX(FREIGHT!$K:$K,$B33),"")</f>
        <v/>
      </c>
      <c r="G33" s="27" t="str">
        <f ca="1">IFERROR(INDEX(FREIGHT!$L:$L,$B33),"")</f>
        <v/>
      </c>
      <c r="H33" s="32" t="str">
        <f ca="1">IFERROR(INDEX(FREIGHT!$O:$O,$B33),"")</f>
        <v/>
      </c>
      <c r="I33" s="28" t="str">
        <f ca="1">IFERROR(INDEX(FREIGHT!$P:$P,$B33),"")</f>
        <v/>
      </c>
      <c r="J33" s="30" t="str">
        <f ca="1">IFERROR(INDEX(FREIGHT!$Q:$Q,$B33),"")</f>
        <v/>
      </c>
      <c r="K33" s="30" t="str">
        <f ca="1">IFERROR(INDEX(FREIGHT!$R:$R,$B33),"")</f>
        <v/>
      </c>
      <c r="L33" s="30" t="str">
        <f ca="1">IFERROR(INDEX(FREIGHT!$S:$S,$B33),"")</f>
        <v/>
      </c>
      <c r="M33" s="30" t="str">
        <f ca="1">IFERROR(INDEX(FREIGHT!$T:$T,$B33),"")</f>
        <v/>
      </c>
      <c r="N33" s="30" t="str">
        <f ca="1">IFERROR(INDEX(FREIGHT!$U:$U,$B33),"")</f>
        <v/>
      </c>
      <c r="O33" s="26" t="str">
        <f ca="1">IFERROR(INDEX(FREIGHT!$E:$E,$B33),"")</f>
        <v/>
      </c>
    </row>
    <row r="34" spans="1:15" ht="12.6" customHeight="1" x14ac:dyDescent="0.3">
      <c r="A34" s="16">
        <f ca="1">SUBTOTAL(3,C$6:C34)</f>
        <v>29</v>
      </c>
      <c r="B34" s="25" t="e">
        <f ca="1">MATCH($E$2,OFFSET(FREIGHT!$A$1,B33,0,1000,1),0)+B33</f>
        <v>#N/A</v>
      </c>
      <c r="C34" s="26" t="str">
        <f ca="1">IFERROR(INDEX(FREIGHT!$D:$D,$B34),"")</f>
        <v/>
      </c>
      <c r="D34" s="27" t="str">
        <f ca="1">IFERROR(INDEX(FREIGHT!$I:$I,$B34),"")</f>
        <v/>
      </c>
      <c r="E34" s="27" t="str">
        <f ca="1">IFERROR(INDEX(FREIGHT!$J:$J,$B34),"")</f>
        <v/>
      </c>
      <c r="F34" s="27" t="str">
        <f ca="1">IFERROR(INDEX(FREIGHT!$K:$K,$B34),"")</f>
        <v/>
      </c>
      <c r="G34" s="27" t="str">
        <f ca="1">IFERROR(INDEX(FREIGHT!$L:$L,$B34),"")</f>
        <v/>
      </c>
      <c r="H34" s="32" t="str">
        <f ca="1">IFERROR(INDEX(FREIGHT!$O:$O,$B34),"")</f>
        <v/>
      </c>
      <c r="I34" s="28" t="str">
        <f ca="1">IFERROR(INDEX(FREIGHT!$P:$P,$B34),"")</f>
        <v/>
      </c>
      <c r="J34" s="30" t="str">
        <f ca="1">IFERROR(INDEX(FREIGHT!$Q:$Q,$B34),"")</f>
        <v/>
      </c>
      <c r="K34" s="30" t="str">
        <f ca="1">IFERROR(INDEX(FREIGHT!$R:$R,$B34),"")</f>
        <v/>
      </c>
      <c r="L34" s="30" t="str">
        <f ca="1">IFERROR(INDEX(FREIGHT!$S:$S,$B34),"")</f>
        <v/>
      </c>
      <c r="M34" s="30" t="str">
        <f ca="1">IFERROR(INDEX(FREIGHT!$T:$T,$B34),"")</f>
        <v/>
      </c>
      <c r="N34" s="30" t="str">
        <f ca="1">IFERROR(INDEX(FREIGHT!$U:$U,$B34),"")</f>
        <v/>
      </c>
      <c r="O34" s="26" t="str">
        <f ca="1">IFERROR(INDEX(FREIGHT!$E:$E,$B34),"")</f>
        <v/>
      </c>
    </row>
    <row r="35" spans="1:15" ht="12.6" customHeight="1" x14ac:dyDescent="0.3">
      <c r="A35" s="16">
        <f ca="1">SUBTOTAL(3,C$6:C35)</f>
        <v>30</v>
      </c>
      <c r="B35" s="25" t="e">
        <f ca="1">MATCH($E$2,OFFSET(FREIGHT!$A$1,B34,0,1000,1),0)+B34</f>
        <v>#N/A</v>
      </c>
      <c r="C35" s="26" t="str">
        <f ca="1">IFERROR(INDEX(FREIGHT!$D:$D,$B35),"")</f>
        <v/>
      </c>
      <c r="D35" s="27" t="str">
        <f ca="1">IFERROR(INDEX(FREIGHT!$I:$I,$B35),"")</f>
        <v/>
      </c>
      <c r="E35" s="27" t="str">
        <f ca="1">IFERROR(INDEX(FREIGHT!$J:$J,$B35),"")</f>
        <v/>
      </c>
      <c r="F35" s="27" t="str">
        <f ca="1">IFERROR(INDEX(FREIGHT!$K:$K,$B35),"")</f>
        <v/>
      </c>
      <c r="G35" s="27" t="str">
        <f ca="1">IFERROR(INDEX(FREIGHT!$L:$L,$B35),"")</f>
        <v/>
      </c>
      <c r="H35" s="32" t="str">
        <f ca="1">IFERROR(INDEX(FREIGHT!$O:$O,$B35),"")</f>
        <v/>
      </c>
      <c r="I35" s="28" t="str">
        <f ca="1">IFERROR(INDEX(FREIGHT!$P:$P,$B35),"")</f>
        <v/>
      </c>
      <c r="J35" s="30" t="str">
        <f ca="1">IFERROR(INDEX(FREIGHT!$Q:$Q,$B35),"")</f>
        <v/>
      </c>
      <c r="K35" s="30" t="str">
        <f ca="1">IFERROR(INDEX(FREIGHT!$R:$R,$B35),"")</f>
        <v/>
      </c>
      <c r="L35" s="30" t="str">
        <f ca="1">IFERROR(INDEX(FREIGHT!$S:$S,$B35),"")</f>
        <v/>
      </c>
      <c r="M35" s="30" t="str">
        <f ca="1">IFERROR(INDEX(FREIGHT!$T:$T,$B35),"")</f>
        <v/>
      </c>
      <c r="N35" s="30" t="str">
        <f ca="1">IFERROR(INDEX(FREIGHT!$U:$U,$B35),"")</f>
        <v/>
      </c>
      <c r="O35" s="26" t="str">
        <f ca="1">IFERROR(INDEX(FREIGHT!$E:$E,$B35),"")</f>
        <v/>
      </c>
    </row>
    <row r="36" spans="1:15" ht="12.6" customHeight="1" x14ac:dyDescent="0.3">
      <c r="A36" s="16">
        <f ca="1">SUBTOTAL(3,C$6:C36)</f>
        <v>31</v>
      </c>
      <c r="B36" s="25" t="e">
        <f ca="1">MATCH($E$2,OFFSET(FREIGHT!$A$1,B35,0,1000,1),0)+B35</f>
        <v>#N/A</v>
      </c>
      <c r="C36" s="26" t="str">
        <f ca="1">IFERROR(INDEX(FREIGHT!$D:$D,$B36),"")</f>
        <v/>
      </c>
      <c r="D36" s="27" t="str">
        <f ca="1">IFERROR(INDEX(FREIGHT!$I:$I,$B36),"")</f>
        <v/>
      </c>
      <c r="E36" s="27" t="str">
        <f ca="1">IFERROR(INDEX(FREIGHT!$J:$J,$B36),"")</f>
        <v/>
      </c>
      <c r="F36" s="27" t="str">
        <f ca="1">IFERROR(INDEX(FREIGHT!$K:$K,$B36),"")</f>
        <v/>
      </c>
      <c r="G36" s="27" t="str">
        <f ca="1">IFERROR(INDEX(FREIGHT!$L:$L,$B36),"")</f>
        <v/>
      </c>
      <c r="H36" s="32" t="str">
        <f ca="1">IFERROR(INDEX(FREIGHT!$O:$O,$B36),"")</f>
        <v/>
      </c>
      <c r="I36" s="28" t="str">
        <f ca="1">IFERROR(INDEX(FREIGHT!$P:$P,$B36),"")</f>
        <v/>
      </c>
      <c r="J36" s="30" t="str">
        <f ca="1">IFERROR(INDEX(FREIGHT!$Q:$Q,$B36),"")</f>
        <v/>
      </c>
      <c r="K36" s="30" t="str">
        <f ca="1">IFERROR(INDEX(FREIGHT!$R:$R,$B36),"")</f>
        <v/>
      </c>
      <c r="L36" s="30" t="str">
        <f ca="1">IFERROR(INDEX(FREIGHT!$S:$S,$B36),"")</f>
        <v/>
      </c>
      <c r="M36" s="30" t="str">
        <f ca="1">IFERROR(INDEX(FREIGHT!$T:$T,$B36),"")</f>
        <v/>
      </c>
      <c r="N36" s="30" t="str">
        <f ca="1">IFERROR(INDEX(FREIGHT!$U:$U,$B36),"")</f>
        <v/>
      </c>
      <c r="O36" s="26" t="str">
        <f ca="1">IFERROR(INDEX(FREIGHT!$E:$E,$B36),"")</f>
        <v/>
      </c>
    </row>
    <row r="37" spans="1:15" ht="12.6" customHeight="1" x14ac:dyDescent="0.3">
      <c r="A37" s="16">
        <f ca="1">SUBTOTAL(3,C$6:C37)</f>
        <v>32</v>
      </c>
      <c r="B37" s="25" t="e">
        <f ca="1">MATCH($E$2,OFFSET(FREIGHT!$A$1,B36,0,1000,1),0)+B36</f>
        <v>#N/A</v>
      </c>
      <c r="C37" s="26" t="str">
        <f ca="1">IFERROR(INDEX(FREIGHT!$D:$D,$B37),"")</f>
        <v/>
      </c>
      <c r="D37" s="27" t="str">
        <f ca="1">IFERROR(INDEX(FREIGHT!$I:$I,$B37),"")</f>
        <v/>
      </c>
      <c r="E37" s="27" t="str">
        <f ca="1">IFERROR(INDEX(FREIGHT!$J:$J,$B37),"")</f>
        <v/>
      </c>
      <c r="F37" s="27" t="str">
        <f ca="1">IFERROR(INDEX(FREIGHT!$K:$K,$B37),"")</f>
        <v/>
      </c>
      <c r="G37" s="27" t="str">
        <f ca="1">IFERROR(INDEX(FREIGHT!$L:$L,$B37),"")</f>
        <v/>
      </c>
      <c r="H37" s="32" t="str">
        <f ca="1">IFERROR(INDEX(FREIGHT!$O:$O,$B37),"")</f>
        <v/>
      </c>
      <c r="I37" s="28" t="str">
        <f ca="1">IFERROR(INDEX(FREIGHT!$P:$P,$B37),"")</f>
        <v/>
      </c>
      <c r="J37" s="30" t="str">
        <f ca="1">IFERROR(INDEX(FREIGHT!$Q:$Q,$B37),"")</f>
        <v/>
      </c>
      <c r="K37" s="30" t="str">
        <f ca="1">IFERROR(INDEX(FREIGHT!$R:$R,$B37),"")</f>
        <v/>
      </c>
      <c r="L37" s="30" t="str">
        <f ca="1">IFERROR(INDEX(FREIGHT!$S:$S,$B37),"")</f>
        <v/>
      </c>
      <c r="M37" s="30" t="str">
        <f ca="1">IFERROR(INDEX(FREIGHT!$T:$T,$B37),"")</f>
        <v/>
      </c>
      <c r="N37" s="30" t="str">
        <f ca="1">IFERROR(INDEX(FREIGHT!$U:$U,$B37),"")</f>
        <v/>
      </c>
      <c r="O37" s="26" t="str">
        <f ca="1">IFERROR(INDEX(FREIGHT!$E:$E,$B37),"")</f>
        <v/>
      </c>
    </row>
    <row r="38" spans="1:15" ht="12.6" customHeight="1" x14ac:dyDescent="0.3">
      <c r="A38" s="16">
        <f ca="1">SUBTOTAL(3,C$6:C38)</f>
        <v>33</v>
      </c>
      <c r="B38" s="25" t="e">
        <f ca="1">MATCH($E$2,OFFSET(FREIGHT!$A$1,B37,0,1000,1),0)+B37</f>
        <v>#N/A</v>
      </c>
      <c r="C38" s="26" t="str">
        <f ca="1">IFERROR(INDEX(FREIGHT!$D:$D,$B38),"")</f>
        <v/>
      </c>
      <c r="D38" s="27" t="str">
        <f ca="1">IFERROR(INDEX(FREIGHT!$I:$I,$B38),"")</f>
        <v/>
      </c>
      <c r="E38" s="27" t="str">
        <f ca="1">IFERROR(INDEX(FREIGHT!$J:$J,$B38),"")</f>
        <v/>
      </c>
      <c r="F38" s="27" t="str">
        <f ca="1">IFERROR(INDEX(FREIGHT!$K:$K,$B38),"")</f>
        <v/>
      </c>
      <c r="G38" s="27" t="str">
        <f ca="1">IFERROR(INDEX(FREIGHT!$L:$L,$B38),"")</f>
        <v/>
      </c>
      <c r="H38" s="32" t="str">
        <f ca="1">IFERROR(INDEX(FREIGHT!$O:$O,$B38),"")</f>
        <v/>
      </c>
      <c r="I38" s="28" t="str">
        <f ca="1">IFERROR(INDEX(FREIGHT!$P:$P,$B38),"")</f>
        <v/>
      </c>
      <c r="J38" s="30" t="str">
        <f ca="1">IFERROR(INDEX(FREIGHT!$Q:$Q,$B38),"")</f>
        <v/>
      </c>
      <c r="K38" s="30" t="str">
        <f ca="1">IFERROR(INDEX(FREIGHT!$R:$R,$B38),"")</f>
        <v/>
      </c>
      <c r="L38" s="30" t="str">
        <f ca="1">IFERROR(INDEX(FREIGHT!$S:$S,$B38),"")</f>
        <v/>
      </c>
      <c r="M38" s="30" t="str">
        <f ca="1">IFERROR(INDEX(FREIGHT!$T:$T,$B38),"")</f>
        <v/>
      </c>
      <c r="N38" s="30" t="str">
        <f ca="1">IFERROR(INDEX(FREIGHT!$U:$U,$B38),"")</f>
        <v/>
      </c>
      <c r="O38" s="26" t="str">
        <f ca="1">IFERROR(INDEX(FREIGHT!$E:$E,$B38),"")</f>
        <v/>
      </c>
    </row>
    <row r="39" spans="1:15" ht="12.6" customHeight="1" x14ac:dyDescent="0.3">
      <c r="A39" s="16">
        <f ca="1">SUBTOTAL(3,C$6:C39)</f>
        <v>34</v>
      </c>
      <c r="B39" s="25" t="e">
        <f ca="1">MATCH($E$2,OFFSET(FREIGHT!$A$1,B38,0,1000,1),0)+B38</f>
        <v>#N/A</v>
      </c>
      <c r="C39" s="26" t="str">
        <f ca="1">IFERROR(INDEX(FREIGHT!$D:$D,$B39),"")</f>
        <v/>
      </c>
      <c r="D39" s="27" t="str">
        <f ca="1">IFERROR(INDEX(FREIGHT!$I:$I,$B39),"")</f>
        <v/>
      </c>
      <c r="E39" s="27" t="str">
        <f ca="1">IFERROR(INDEX(FREIGHT!$J:$J,$B39),"")</f>
        <v/>
      </c>
      <c r="F39" s="27" t="str">
        <f ca="1">IFERROR(INDEX(FREIGHT!$K:$K,$B39),"")</f>
        <v/>
      </c>
      <c r="G39" s="27" t="str">
        <f ca="1">IFERROR(INDEX(FREIGHT!$L:$L,$B39),"")</f>
        <v/>
      </c>
      <c r="H39" s="32" t="str">
        <f ca="1">IFERROR(INDEX(FREIGHT!$O:$O,$B39),"")</f>
        <v/>
      </c>
      <c r="I39" s="28" t="str">
        <f ca="1">IFERROR(INDEX(FREIGHT!$P:$P,$B39),"")</f>
        <v/>
      </c>
      <c r="J39" s="30" t="str">
        <f ca="1">IFERROR(INDEX(FREIGHT!$Q:$Q,$B39),"")</f>
        <v/>
      </c>
      <c r="K39" s="30" t="str">
        <f ca="1">IFERROR(INDEX(FREIGHT!$R:$R,$B39),"")</f>
        <v/>
      </c>
      <c r="L39" s="30" t="str">
        <f ca="1">IFERROR(INDEX(FREIGHT!$S:$S,$B39),"")</f>
        <v/>
      </c>
      <c r="M39" s="30" t="str">
        <f ca="1">IFERROR(INDEX(FREIGHT!$T:$T,$B39),"")</f>
        <v/>
      </c>
      <c r="N39" s="30" t="str">
        <f ca="1">IFERROR(INDEX(FREIGHT!$U:$U,$B39),"")</f>
        <v/>
      </c>
      <c r="O39" s="26" t="str">
        <f ca="1">IFERROR(INDEX(FREIGHT!$E:$E,$B39),"")</f>
        <v/>
      </c>
    </row>
    <row r="40" spans="1:15" ht="12.6" customHeight="1" x14ac:dyDescent="0.3">
      <c r="A40" s="16">
        <f ca="1">SUBTOTAL(3,C$6:C40)</f>
        <v>35</v>
      </c>
      <c r="B40" s="25" t="e">
        <f ca="1">MATCH($E$2,OFFSET(FREIGHT!$A$1,B39,0,1000,1),0)+B39</f>
        <v>#N/A</v>
      </c>
      <c r="C40" s="26" t="str">
        <f ca="1">IFERROR(INDEX(FREIGHT!$D:$D,$B40),"")</f>
        <v/>
      </c>
      <c r="D40" s="27" t="str">
        <f ca="1">IFERROR(INDEX(FREIGHT!$I:$I,$B40),"")</f>
        <v/>
      </c>
      <c r="E40" s="27" t="str">
        <f ca="1">IFERROR(INDEX(FREIGHT!$J:$J,$B40),"")</f>
        <v/>
      </c>
      <c r="F40" s="27" t="str">
        <f ca="1">IFERROR(INDEX(FREIGHT!$K:$K,$B40),"")</f>
        <v/>
      </c>
      <c r="G40" s="27" t="str">
        <f ca="1">IFERROR(INDEX(FREIGHT!$L:$L,$B40),"")</f>
        <v/>
      </c>
      <c r="H40" s="32" t="str">
        <f ca="1">IFERROR(INDEX(FREIGHT!$O:$O,$B40),"")</f>
        <v/>
      </c>
      <c r="I40" s="28" t="str">
        <f ca="1">IFERROR(INDEX(FREIGHT!$P:$P,$B40),"")</f>
        <v/>
      </c>
      <c r="J40" s="30" t="str">
        <f ca="1">IFERROR(INDEX(FREIGHT!$Q:$Q,$B40),"")</f>
        <v/>
      </c>
      <c r="K40" s="30" t="str">
        <f ca="1">IFERROR(INDEX(FREIGHT!$R:$R,$B40),"")</f>
        <v/>
      </c>
      <c r="L40" s="30" t="str">
        <f ca="1">IFERROR(INDEX(FREIGHT!$S:$S,$B40),"")</f>
        <v/>
      </c>
      <c r="M40" s="30" t="str">
        <f ca="1">IFERROR(INDEX(FREIGHT!$T:$T,$B40),"")</f>
        <v/>
      </c>
      <c r="N40" s="30" t="str">
        <f ca="1">IFERROR(INDEX(FREIGHT!$U:$U,$B40),"")</f>
        <v/>
      </c>
      <c r="O40" s="26" t="str">
        <f ca="1">IFERROR(INDEX(FREIGHT!$E:$E,$B40),"")</f>
        <v/>
      </c>
    </row>
    <row r="41" spans="1:15" ht="12.6" customHeight="1" x14ac:dyDescent="0.3">
      <c r="A41" s="16">
        <f ca="1">SUBTOTAL(3,C$6:C41)</f>
        <v>36</v>
      </c>
      <c r="B41" s="25" t="e">
        <f ca="1">MATCH($E$2,OFFSET(FREIGHT!$A$1,B40,0,1000,1),0)+B40</f>
        <v>#N/A</v>
      </c>
      <c r="C41" s="26" t="str">
        <f ca="1">IFERROR(INDEX(FREIGHT!$D:$D,$B41),"")</f>
        <v/>
      </c>
      <c r="D41" s="27" t="str">
        <f ca="1">IFERROR(INDEX(FREIGHT!$I:$I,$B41),"")</f>
        <v/>
      </c>
      <c r="E41" s="27" t="str">
        <f ca="1">IFERROR(INDEX(FREIGHT!$J:$J,$B41),"")</f>
        <v/>
      </c>
      <c r="F41" s="27" t="str">
        <f ca="1">IFERROR(INDEX(FREIGHT!$K:$K,$B41),"")</f>
        <v/>
      </c>
      <c r="G41" s="27" t="str">
        <f ca="1">IFERROR(INDEX(FREIGHT!$L:$L,$B41),"")</f>
        <v/>
      </c>
      <c r="H41" s="32" t="str">
        <f ca="1">IFERROR(INDEX(FREIGHT!$O:$O,$B41),"")</f>
        <v/>
      </c>
      <c r="I41" s="28" t="str">
        <f ca="1">IFERROR(INDEX(FREIGHT!$P:$P,$B41),"")</f>
        <v/>
      </c>
      <c r="J41" s="30" t="str">
        <f ca="1">IFERROR(INDEX(FREIGHT!$Q:$Q,$B41),"")</f>
        <v/>
      </c>
      <c r="K41" s="30" t="str">
        <f ca="1">IFERROR(INDEX(FREIGHT!$R:$R,$B41),"")</f>
        <v/>
      </c>
      <c r="L41" s="30" t="str">
        <f ca="1">IFERROR(INDEX(FREIGHT!$S:$S,$B41),"")</f>
        <v/>
      </c>
      <c r="M41" s="30" t="str">
        <f ca="1">IFERROR(INDEX(FREIGHT!$T:$T,$B41),"")</f>
        <v/>
      </c>
      <c r="N41" s="30" t="str">
        <f ca="1">IFERROR(INDEX(FREIGHT!$U:$U,$B41),"")</f>
        <v/>
      </c>
      <c r="O41" s="26" t="str">
        <f ca="1">IFERROR(INDEX(FREIGHT!$E:$E,$B41),"")</f>
        <v/>
      </c>
    </row>
    <row r="42" spans="1:15" ht="12.6" customHeight="1" x14ac:dyDescent="0.3">
      <c r="A42" s="16">
        <f ca="1">SUBTOTAL(3,C$6:C42)</f>
        <v>37</v>
      </c>
      <c r="B42" s="25" t="e">
        <f ca="1">MATCH($E$2,OFFSET(FREIGHT!$A$1,B41,0,1000,1),0)+B41</f>
        <v>#N/A</v>
      </c>
      <c r="C42" s="26" t="str">
        <f ca="1">IFERROR(INDEX(FREIGHT!$D:$D,$B42),"")</f>
        <v/>
      </c>
      <c r="D42" s="27" t="str">
        <f ca="1">IFERROR(INDEX(FREIGHT!$I:$I,$B42),"")</f>
        <v/>
      </c>
      <c r="E42" s="27" t="str">
        <f ca="1">IFERROR(INDEX(FREIGHT!$J:$J,$B42),"")</f>
        <v/>
      </c>
      <c r="F42" s="27" t="str">
        <f ca="1">IFERROR(INDEX(FREIGHT!$K:$K,$B42),"")</f>
        <v/>
      </c>
      <c r="G42" s="27" t="str">
        <f ca="1">IFERROR(INDEX(FREIGHT!$L:$L,$B42),"")</f>
        <v/>
      </c>
      <c r="H42" s="32" t="str">
        <f ca="1">IFERROR(INDEX(FREIGHT!$O:$O,$B42),"")</f>
        <v/>
      </c>
      <c r="I42" s="28" t="str">
        <f ca="1">IFERROR(INDEX(FREIGHT!$P:$P,$B42),"")</f>
        <v/>
      </c>
      <c r="J42" s="30" t="str">
        <f ca="1">IFERROR(INDEX(FREIGHT!$Q:$Q,$B42),"")</f>
        <v/>
      </c>
      <c r="K42" s="30" t="str">
        <f ca="1">IFERROR(INDEX(FREIGHT!$R:$R,$B42),"")</f>
        <v/>
      </c>
      <c r="L42" s="30" t="str">
        <f ca="1">IFERROR(INDEX(FREIGHT!$S:$S,$B42),"")</f>
        <v/>
      </c>
      <c r="M42" s="30" t="str">
        <f ca="1">IFERROR(INDEX(FREIGHT!$T:$T,$B42),"")</f>
        <v/>
      </c>
      <c r="N42" s="30" t="str">
        <f ca="1">IFERROR(INDEX(FREIGHT!$U:$U,$B42),"")</f>
        <v/>
      </c>
      <c r="O42" s="26" t="str">
        <f ca="1">IFERROR(INDEX(FREIGHT!$E:$E,$B42),"")</f>
        <v/>
      </c>
    </row>
    <row r="43" spans="1:15" ht="12.6" customHeight="1" x14ac:dyDescent="0.3">
      <c r="A43" s="16">
        <f ca="1">SUBTOTAL(3,C$6:C43)</f>
        <v>38</v>
      </c>
      <c r="B43" s="25" t="e">
        <f ca="1">MATCH($E$2,OFFSET(FREIGHT!$A$1,B42,0,1000,1),0)+B42</f>
        <v>#N/A</v>
      </c>
      <c r="C43" s="26" t="str">
        <f ca="1">IFERROR(INDEX(FREIGHT!$D:$D,$B43),"")</f>
        <v/>
      </c>
      <c r="D43" s="27" t="str">
        <f ca="1">IFERROR(INDEX(FREIGHT!$I:$I,$B43),"")</f>
        <v/>
      </c>
      <c r="E43" s="27" t="str">
        <f ca="1">IFERROR(INDEX(FREIGHT!$J:$J,$B43),"")</f>
        <v/>
      </c>
      <c r="F43" s="27" t="str">
        <f ca="1">IFERROR(INDEX(FREIGHT!$K:$K,$B43),"")</f>
        <v/>
      </c>
      <c r="G43" s="27" t="str">
        <f ca="1">IFERROR(INDEX(FREIGHT!$L:$L,$B43),"")</f>
        <v/>
      </c>
      <c r="H43" s="32" t="str">
        <f ca="1">IFERROR(INDEX(FREIGHT!$O:$O,$B43),"")</f>
        <v/>
      </c>
      <c r="I43" s="28" t="str">
        <f ca="1">IFERROR(INDEX(FREIGHT!$P:$P,$B43),"")</f>
        <v/>
      </c>
      <c r="J43" s="30" t="str">
        <f ca="1">IFERROR(INDEX(FREIGHT!$Q:$Q,$B43),"")</f>
        <v/>
      </c>
      <c r="K43" s="30" t="str">
        <f ca="1">IFERROR(INDEX(FREIGHT!$R:$R,$B43),"")</f>
        <v/>
      </c>
      <c r="L43" s="30" t="str">
        <f ca="1">IFERROR(INDEX(FREIGHT!$S:$S,$B43),"")</f>
        <v/>
      </c>
      <c r="M43" s="30" t="str">
        <f ca="1">IFERROR(INDEX(FREIGHT!$T:$T,$B43),"")</f>
        <v/>
      </c>
      <c r="N43" s="30" t="str">
        <f ca="1">IFERROR(INDEX(FREIGHT!$U:$U,$B43),"")</f>
        <v/>
      </c>
      <c r="O43" s="26" t="str">
        <f ca="1">IFERROR(INDEX(FREIGHT!$E:$E,$B43),"")</f>
        <v/>
      </c>
    </row>
    <row r="44" spans="1:15" ht="12.6" customHeight="1" x14ac:dyDescent="0.3">
      <c r="A44" s="16">
        <f ca="1">SUBTOTAL(3,C$6:C44)</f>
        <v>39</v>
      </c>
      <c r="B44" s="25" t="e">
        <f ca="1">MATCH($E$2,OFFSET(FREIGHT!$A$1,B43,0,1000,1),0)+B43</f>
        <v>#N/A</v>
      </c>
      <c r="C44" s="26" t="str">
        <f ca="1">IFERROR(INDEX(FREIGHT!$D:$D,$B44),"")</f>
        <v/>
      </c>
      <c r="D44" s="27" t="str">
        <f ca="1">IFERROR(INDEX(FREIGHT!$I:$I,$B44),"")</f>
        <v/>
      </c>
      <c r="E44" s="27" t="str">
        <f ca="1">IFERROR(INDEX(FREIGHT!$J:$J,$B44),"")</f>
        <v/>
      </c>
      <c r="F44" s="27" t="str">
        <f ca="1">IFERROR(INDEX(FREIGHT!$K:$K,$B44),"")</f>
        <v/>
      </c>
      <c r="G44" s="27" t="str">
        <f ca="1">IFERROR(INDEX(FREIGHT!$L:$L,$B44),"")</f>
        <v/>
      </c>
      <c r="H44" s="32" t="str">
        <f ca="1">IFERROR(INDEX(FREIGHT!$O:$O,$B44),"")</f>
        <v/>
      </c>
      <c r="I44" s="28" t="str">
        <f ca="1">IFERROR(INDEX(FREIGHT!$P:$P,$B44),"")</f>
        <v/>
      </c>
      <c r="J44" s="30" t="str">
        <f ca="1">IFERROR(INDEX(FREIGHT!$Q:$Q,$B44),"")</f>
        <v/>
      </c>
      <c r="K44" s="30" t="str">
        <f ca="1">IFERROR(INDEX(FREIGHT!$R:$R,$B44),"")</f>
        <v/>
      </c>
      <c r="L44" s="30" t="str">
        <f ca="1">IFERROR(INDEX(FREIGHT!$S:$S,$B44),"")</f>
        <v/>
      </c>
      <c r="M44" s="30" t="str">
        <f ca="1">IFERROR(INDEX(FREIGHT!$T:$T,$B44),"")</f>
        <v/>
      </c>
      <c r="N44" s="30" t="str">
        <f ca="1">IFERROR(INDEX(FREIGHT!$U:$U,$B44),"")</f>
        <v/>
      </c>
      <c r="O44" s="26" t="str">
        <f ca="1">IFERROR(INDEX(FREIGHT!$E:$E,$B44),"")</f>
        <v/>
      </c>
    </row>
    <row r="45" spans="1:15" ht="12.6" customHeight="1" x14ac:dyDescent="0.3">
      <c r="A45" s="16">
        <f ca="1">SUBTOTAL(3,C$6:C45)</f>
        <v>40</v>
      </c>
      <c r="B45" s="25" t="e">
        <f ca="1">MATCH($E$2,OFFSET(FREIGHT!$A$1,B44,0,1000,1),0)+B44</f>
        <v>#N/A</v>
      </c>
      <c r="C45" s="26" t="str">
        <f ca="1">IFERROR(INDEX(FREIGHT!$D:$D,$B45),"")</f>
        <v/>
      </c>
      <c r="D45" s="27" t="str">
        <f ca="1">IFERROR(INDEX(FREIGHT!$I:$I,$B45),"")</f>
        <v/>
      </c>
      <c r="E45" s="27" t="str">
        <f ca="1">IFERROR(INDEX(FREIGHT!$J:$J,$B45),"")</f>
        <v/>
      </c>
      <c r="F45" s="27" t="str">
        <f ca="1">IFERROR(INDEX(FREIGHT!$K:$K,$B45),"")</f>
        <v/>
      </c>
      <c r="G45" s="27" t="str">
        <f ca="1">IFERROR(INDEX(FREIGHT!$L:$L,$B45),"")</f>
        <v/>
      </c>
      <c r="H45" s="32" t="str">
        <f ca="1">IFERROR(INDEX(FREIGHT!$O:$O,$B45),"")</f>
        <v/>
      </c>
      <c r="I45" s="28" t="str">
        <f ca="1">IFERROR(INDEX(FREIGHT!$P:$P,$B45),"")</f>
        <v/>
      </c>
      <c r="J45" s="30" t="str">
        <f ca="1">IFERROR(INDEX(FREIGHT!$Q:$Q,$B45),"")</f>
        <v/>
      </c>
      <c r="K45" s="30" t="str">
        <f ca="1">IFERROR(INDEX(FREIGHT!$R:$R,$B45),"")</f>
        <v/>
      </c>
      <c r="L45" s="30" t="str">
        <f ca="1">IFERROR(INDEX(FREIGHT!$S:$S,$B45),"")</f>
        <v/>
      </c>
      <c r="M45" s="30" t="str">
        <f ca="1">IFERROR(INDEX(FREIGHT!$T:$T,$B45),"")</f>
        <v/>
      </c>
      <c r="N45" s="30" t="str">
        <f ca="1">IFERROR(INDEX(FREIGHT!$U:$U,$B45),"")</f>
        <v/>
      </c>
      <c r="O45" s="26" t="str">
        <f ca="1">IFERROR(INDEX(FREIGHT!$E:$E,$B45),"")</f>
        <v/>
      </c>
    </row>
    <row r="46" spans="1:15" ht="12.6" customHeight="1" x14ac:dyDescent="0.3">
      <c r="A46" s="16">
        <f ca="1">SUBTOTAL(3,C$6:C46)</f>
        <v>41</v>
      </c>
      <c r="B46" s="25" t="e">
        <f ca="1">MATCH($E$2,OFFSET(FREIGHT!$A$1,B45,0,1000,1),0)+B45</f>
        <v>#N/A</v>
      </c>
      <c r="C46" s="26" t="str">
        <f ca="1">IFERROR(INDEX(FREIGHT!$D:$D,$B46),"")</f>
        <v/>
      </c>
      <c r="D46" s="27" t="str">
        <f ca="1">IFERROR(INDEX(FREIGHT!$I:$I,$B46),"")</f>
        <v/>
      </c>
      <c r="E46" s="27" t="str">
        <f ca="1">IFERROR(INDEX(FREIGHT!$J:$J,$B46),"")</f>
        <v/>
      </c>
      <c r="F46" s="27" t="str">
        <f ca="1">IFERROR(INDEX(FREIGHT!$K:$K,$B46),"")</f>
        <v/>
      </c>
      <c r="G46" s="27" t="str">
        <f ca="1">IFERROR(INDEX(FREIGHT!$L:$L,$B46),"")</f>
        <v/>
      </c>
      <c r="H46" s="32" t="str">
        <f ca="1">IFERROR(INDEX(FREIGHT!$O:$O,$B46),"")</f>
        <v/>
      </c>
      <c r="I46" s="28" t="str">
        <f ca="1">IFERROR(INDEX(FREIGHT!$P:$P,$B46),"")</f>
        <v/>
      </c>
      <c r="J46" s="30" t="str">
        <f ca="1">IFERROR(INDEX(FREIGHT!$Q:$Q,$B46),"")</f>
        <v/>
      </c>
      <c r="K46" s="30" t="str">
        <f ca="1">IFERROR(INDEX(FREIGHT!$R:$R,$B46),"")</f>
        <v/>
      </c>
      <c r="L46" s="30" t="str">
        <f ca="1">IFERROR(INDEX(FREIGHT!$S:$S,$B46),"")</f>
        <v/>
      </c>
      <c r="M46" s="30" t="str">
        <f ca="1">IFERROR(INDEX(FREIGHT!$T:$T,$B46),"")</f>
        <v/>
      </c>
      <c r="N46" s="30" t="str">
        <f ca="1">IFERROR(INDEX(FREIGHT!$U:$U,$B46),"")</f>
        <v/>
      </c>
      <c r="O46" s="26" t="str">
        <f ca="1">IFERROR(INDEX(FREIGHT!$E:$E,$B46),"")</f>
        <v/>
      </c>
    </row>
    <row r="47" spans="1:15" ht="12.6" customHeight="1" x14ac:dyDescent="0.3">
      <c r="A47" s="16">
        <f ca="1">SUBTOTAL(3,C$6:C47)</f>
        <v>42</v>
      </c>
      <c r="B47" s="25" t="e">
        <f ca="1">MATCH($E$2,OFFSET(FREIGHT!$A$1,B46,0,1000,1),0)+B46</f>
        <v>#N/A</v>
      </c>
      <c r="C47" s="26" t="str">
        <f ca="1">IFERROR(INDEX(FREIGHT!$D:$D,$B47),"")</f>
        <v/>
      </c>
      <c r="D47" s="27" t="str">
        <f ca="1">IFERROR(INDEX(FREIGHT!$I:$I,$B47),"")</f>
        <v/>
      </c>
      <c r="E47" s="27" t="str">
        <f ca="1">IFERROR(INDEX(FREIGHT!$J:$J,$B47),"")</f>
        <v/>
      </c>
      <c r="F47" s="27" t="str">
        <f ca="1">IFERROR(INDEX(FREIGHT!$K:$K,$B47),"")</f>
        <v/>
      </c>
      <c r="G47" s="27" t="str">
        <f ca="1">IFERROR(INDEX(FREIGHT!$L:$L,$B47),"")</f>
        <v/>
      </c>
      <c r="H47" s="32" t="str">
        <f ca="1">IFERROR(INDEX(FREIGHT!$O:$O,$B47),"")</f>
        <v/>
      </c>
      <c r="I47" s="28" t="str">
        <f ca="1">IFERROR(INDEX(FREIGHT!$P:$P,$B47),"")</f>
        <v/>
      </c>
      <c r="J47" s="30" t="str">
        <f ca="1">IFERROR(INDEX(FREIGHT!$Q:$Q,$B47),"")</f>
        <v/>
      </c>
      <c r="K47" s="30" t="str">
        <f ca="1">IFERROR(INDEX(FREIGHT!$R:$R,$B47),"")</f>
        <v/>
      </c>
      <c r="L47" s="30" t="str">
        <f ca="1">IFERROR(INDEX(FREIGHT!$S:$S,$B47),"")</f>
        <v/>
      </c>
      <c r="M47" s="30" t="str">
        <f ca="1">IFERROR(INDEX(FREIGHT!$T:$T,$B47),"")</f>
        <v/>
      </c>
      <c r="N47" s="30" t="str">
        <f ca="1">IFERROR(INDEX(FREIGHT!$U:$U,$B47),"")</f>
        <v/>
      </c>
      <c r="O47" s="26" t="str">
        <f ca="1">IFERROR(INDEX(FREIGHT!$E:$E,$B47),"")</f>
        <v/>
      </c>
    </row>
    <row r="48" spans="1:15" ht="12.6" customHeight="1" x14ac:dyDescent="0.3">
      <c r="A48" s="16">
        <f ca="1">SUBTOTAL(3,C$6:C48)</f>
        <v>43</v>
      </c>
      <c r="B48" s="25" t="e">
        <f ca="1">MATCH($E$2,OFFSET(FREIGHT!$A$1,B47,0,1000,1),0)+B47</f>
        <v>#N/A</v>
      </c>
      <c r="C48" s="26" t="str">
        <f ca="1">IFERROR(INDEX(FREIGHT!$D:$D,$B48),"")</f>
        <v/>
      </c>
      <c r="D48" s="27" t="str">
        <f ca="1">IFERROR(INDEX(FREIGHT!$I:$I,$B48),"")</f>
        <v/>
      </c>
      <c r="E48" s="27" t="str">
        <f ca="1">IFERROR(INDEX(FREIGHT!$J:$J,$B48),"")</f>
        <v/>
      </c>
      <c r="F48" s="27" t="str">
        <f ca="1">IFERROR(INDEX(FREIGHT!$K:$K,$B48),"")</f>
        <v/>
      </c>
      <c r="G48" s="27" t="str">
        <f ca="1">IFERROR(INDEX(FREIGHT!$L:$L,$B48),"")</f>
        <v/>
      </c>
      <c r="H48" s="32" t="str">
        <f ca="1">IFERROR(INDEX(FREIGHT!$O:$O,$B48),"")</f>
        <v/>
      </c>
      <c r="I48" s="28" t="str">
        <f ca="1">IFERROR(INDEX(FREIGHT!$P:$P,$B48),"")</f>
        <v/>
      </c>
      <c r="J48" s="30" t="str">
        <f ca="1">IFERROR(INDEX(FREIGHT!$Q:$Q,$B48),"")</f>
        <v/>
      </c>
      <c r="K48" s="30" t="str">
        <f ca="1">IFERROR(INDEX(FREIGHT!$R:$R,$B48),"")</f>
        <v/>
      </c>
      <c r="L48" s="30" t="str">
        <f ca="1">IFERROR(INDEX(FREIGHT!$S:$S,$B48),"")</f>
        <v/>
      </c>
      <c r="M48" s="30" t="str">
        <f ca="1">IFERROR(INDEX(FREIGHT!$T:$T,$B48),"")</f>
        <v/>
      </c>
      <c r="N48" s="30" t="str">
        <f ca="1">IFERROR(INDEX(FREIGHT!$U:$U,$B48),"")</f>
        <v/>
      </c>
      <c r="O48" s="26" t="str">
        <f ca="1">IFERROR(INDEX(FREIGHT!$E:$E,$B48),"")</f>
        <v/>
      </c>
    </row>
    <row r="49" spans="1:15" ht="12.6" customHeight="1" x14ac:dyDescent="0.3">
      <c r="A49" s="16">
        <f ca="1">SUBTOTAL(3,C$6:C49)</f>
        <v>44</v>
      </c>
      <c r="B49" s="25" t="e">
        <f ca="1">MATCH($E$2,OFFSET(FREIGHT!$A$1,B48,0,1000,1),0)+B48</f>
        <v>#N/A</v>
      </c>
      <c r="C49" s="26" t="str">
        <f ca="1">IFERROR(INDEX(FREIGHT!$D:$D,$B49),"")</f>
        <v/>
      </c>
      <c r="D49" s="27" t="str">
        <f ca="1">IFERROR(INDEX(FREIGHT!$I:$I,$B49),"")</f>
        <v/>
      </c>
      <c r="E49" s="27" t="str">
        <f ca="1">IFERROR(INDEX(FREIGHT!$J:$J,$B49),"")</f>
        <v/>
      </c>
      <c r="F49" s="27" t="str">
        <f ca="1">IFERROR(INDEX(FREIGHT!$K:$K,$B49),"")</f>
        <v/>
      </c>
      <c r="G49" s="27" t="str">
        <f ca="1">IFERROR(INDEX(FREIGHT!$L:$L,$B49),"")</f>
        <v/>
      </c>
      <c r="H49" s="32" t="str">
        <f ca="1">IFERROR(INDEX(FREIGHT!$O:$O,$B49),"")</f>
        <v/>
      </c>
      <c r="I49" s="28" t="str">
        <f ca="1">IFERROR(INDEX(FREIGHT!$P:$P,$B49),"")</f>
        <v/>
      </c>
      <c r="J49" s="30" t="str">
        <f ca="1">IFERROR(INDEX(FREIGHT!$Q:$Q,$B49),"")</f>
        <v/>
      </c>
      <c r="K49" s="30" t="str">
        <f ca="1">IFERROR(INDEX(FREIGHT!$R:$R,$B49),"")</f>
        <v/>
      </c>
      <c r="L49" s="30" t="str">
        <f ca="1">IFERROR(INDEX(FREIGHT!$S:$S,$B49),"")</f>
        <v/>
      </c>
      <c r="M49" s="30" t="str">
        <f ca="1">IFERROR(INDEX(FREIGHT!$T:$T,$B49),"")</f>
        <v/>
      </c>
      <c r="N49" s="30" t="str">
        <f ca="1">IFERROR(INDEX(FREIGHT!$U:$U,$B49),"")</f>
        <v/>
      </c>
      <c r="O49" s="26" t="str">
        <f ca="1">IFERROR(INDEX(FREIGHT!$E:$E,$B49),"")</f>
        <v/>
      </c>
    </row>
    <row r="50" spans="1:15" ht="12.6" customHeight="1" x14ac:dyDescent="0.3">
      <c r="A50" s="16">
        <f ca="1">SUBTOTAL(3,C$6:C50)</f>
        <v>45</v>
      </c>
      <c r="B50" s="25" t="e">
        <f ca="1">MATCH($E$2,OFFSET(FREIGHT!$A$1,B49,0,1000,1),0)+B49</f>
        <v>#N/A</v>
      </c>
      <c r="C50" s="26" t="str">
        <f ca="1">IFERROR(INDEX(FREIGHT!$D:$D,$B50),"")</f>
        <v/>
      </c>
      <c r="D50" s="27" t="str">
        <f ca="1">IFERROR(INDEX(FREIGHT!$I:$I,$B50),"")</f>
        <v/>
      </c>
      <c r="E50" s="27" t="str">
        <f ca="1">IFERROR(INDEX(FREIGHT!$J:$J,$B50),"")</f>
        <v/>
      </c>
      <c r="F50" s="27" t="str">
        <f ca="1">IFERROR(INDEX(FREIGHT!$K:$K,$B50),"")</f>
        <v/>
      </c>
      <c r="G50" s="27" t="str">
        <f ca="1">IFERROR(INDEX(FREIGHT!$L:$L,$B50),"")</f>
        <v/>
      </c>
      <c r="H50" s="32" t="str">
        <f ca="1">IFERROR(INDEX(FREIGHT!$O:$O,$B50),"")</f>
        <v/>
      </c>
      <c r="I50" s="28" t="str">
        <f ca="1">IFERROR(INDEX(FREIGHT!$P:$P,$B50),"")</f>
        <v/>
      </c>
      <c r="J50" s="30" t="str">
        <f ca="1">IFERROR(INDEX(FREIGHT!$Q:$Q,$B50),"")</f>
        <v/>
      </c>
      <c r="K50" s="30" t="str">
        <f ca="1">IFERROR(INDEX(FREIGHT!$R:$R,$B50),"")</f>
        <v/>
      </c>
      <c r="L50" s="30" t="str">
        <f ca="1">IFERROR(INDEX(FREIGHT!$S:$S,$B50),"")</f>
        <v/>
      </c>
      <c r="M50" s="30" t="str">
        <f ca="1">IFERROR(INDEX(FREIGHT!$T:$T,$B50),"")</f>
        <v/>
      </c>
      <c r="N50" s="30" t="str">
        <f ca="1">IFERROR(INDEX(FREIGHT!$U:$U,$B50),"")</f>
        <v/>
      </c>
      <c r="O50" s="26" t="str">
        <f ca="1">IFERROR(INDEX(FREIGHT!$E:$E,$B50),"")</f>
        <v/>
      </c>
    </row>
    <row r="51" spans="1:15" ht="12.6" customHeight="1" x14ac:dyDescent="0.3">
      <c r="A51" s="16">
        <f ca="1">SUBTOTAL(3,C$6:C51)</f>
        <v>46</v>
      </c>
      <c r="B51" s="25" t="e">
        <f ca="1">MATCH($E$2,OFFSET(FREIGHT!$A$1,B50,0,1000,1),0)+B50</f>
        <v>#N/A</v>
      </c>
      <c r="C51" s="26" t="str">
        <f ca="1">IFERROR(INDEX(FREIGHT!$D:$D,$B51),"")</f>
        <v/>
      </c>
      <c r="D51" s="27" t="str">
        <f ca="1">IFERROR(INDEX(FREIGHT!$I:$I,$B51),"")</f>
        <v/>
      </c>
      <c r="E51" s="27" t="str">
        <f ca="1">IFERROR(INDEX(FREIGHT!$J:$J,$B51),"")</f>
        <v/>
      </c>
      <c r="F51" s="27" t="str">
        <f ca="1">IFERROR(INDEX(FREIGHT!$K:$K,$B51),"")</f>
        <v/>
      </c>
      <c r="G51" s="27" t="str">
        <f ca="1">IFERROR(INDEX(FREIGHT!$L:$L,$B51),"")</f>
        <v/>
      </c>
      <c r="H51" s="32" t="str">
        <f ca="1">IFERROR(INDEX(FREIGHT!$O:$O,$B51),"")</f>
        <v/>
      </c>
      <c r="I51" s="28" t="str">
        <f ca="1">IFERROR(INDEX(FREIGHT!$P:$P,$B51),"")</f>
        <v/>
      </c>
      <c r="J51" s="30" t="str">
        <f ca="1">IFERROR(INDEX(FREIGHT!$Q:$Q,$B51),"")</f>
        <v/>
      </c>
      <c r="K51" s="30" t="str">
        <f ca="1">IFERROR(INDEX(FREIGHT!$R:$R,$B51),"")</f>
        <v/>
      </c>
      <c r="L51" s="30" t="str">
        <f ca="1">IFERROR(INDEX(FREIGHT!$S:$S,$B51),"")</f>
        <v/>
      </c>
      <c r="M51" s="30" t="str">
        <f ca="1">IFERROR(INDEX(FREIGHT!$T:$T,$B51),"")</f>
        <v/>
      </c>
      <c r="N51" s="30" t="str">
        <f ca="1">IFERROR(INDEX(FREIGHT!$U:$U,$B51),"")</f>
        <v/>
      </c>
      <c r="O51" s="26" t="str">
        <f ca="1">IFERROR(INDEX(FREIGHT!$E:$E,$B51),"")</f>
        <v/>
      </c>
    </row>
    <row r="52" spans="1:15" ht="12.6" customHeight="1" x14ac:dyDescent="0.3">
      <c r="A52" s="16">
        <f ca="1">SUBTOTAL(3,C$6:C52)</f>
        <v>47</v>
      </c>
      <c r="B52" s="25" t="e">
        <f ca="1">MATCH($E$2,OFFSET(FREIGHT!$A$1,B51,0,1000,1),0)+B51</f>
        <v>#N/A</v>
      </c>
      <c r="C52" s="26" t="str">
        <f ca="1">IFERROR(INDEX(FREIGHT!$D:$D,$B52),"")</f>
        <v/>
      </c>
      <c r="D52" s="27" t="str">
        <f ca="1">IFERROR(INDEX(FREIGHT!$I:$I,$B52),"")</f>
        <v/>
      </c>
      <c r="E52" s="27" t="str">
        <f ca="1">IFERROR(INDEX(FREIGHT!$J:$J,$B52),"")</f>
        <v/>
      </c>
      <c r="F52" s="27" t="str">
        <f ca="1">IFERROR(INDEX(FREIGHT!$K:$K,$B52),"")</f>
        <v/>
      </c>
      <c r="G52" s="27" t="str">
        <f ca="1">IFERROR(INDEX(FREIGHT!$L:$L,$B52),"")</f>
        <v/>
      </c>
      <c r="H52" s="32" t="str">
        <f ca="1">IFERROR(INDEX(FREIGHT!$O:$O,$B52),"")</f>
        <v/>
      </c>
      <c r="I52" s="28" t="str">
        <f ca="1">IFERROR(INDEX(FREIGHT!$P:$P,$B52),"")</f>
        <v/>
      </c>
      <c r="J52" s="30" t="str">
        <f ca="1">IFERROR(INDEX(FREIGHT!$Q:$Q,$B52),"")</f>
        <v/>
      </c>
      <c r="K52" s="30" t="str">
        <f ca="1">IFERROR(INDEX(FREIGHT!$R:$R,$B52),"")</f>
        <v/>
      </c>
      <c r="L52" s="30" t="str">
        <f ca="1">IFERROR(INDEX(FREIGHT!$S:$S,$B52),"")</f>
        <v/>
      </c>
      <c r="M52" s="30" t="str">
        <f ca="1">IFERROR(INDEX(FREIGHT!$T:$T,$B52),"")</f>
        <v/>
      </c>
      <c r="N52" s="30" t="str">
        <f ca="1">IFERROR(INDEX(FREIGHT!$U:$U,$B52),"")</f>
        <v/>
      </c>
      <c r="O52" s="26" t="str">
        <f ca="1">IFERROR(INDEX(FREIGHT!$E:$E,$B52),"")</f>
        <v/>
      </c>
    </row>
    <row r="53" spans="1:15" ht="12.6" customHeight="1" x14ac:dyDescent="0.3">
      <c r="A53" s="16">
        <f ca="1">SUBTOTAL(3,C$6:C53)</f>
        <v>48</v>
      </c>
      <c r="B53" s="25" t="e">
        <f ca="1">MATCH($E$2,OFFSET(FREIGHT!$A$1,B52,0,1000,1),0)+B52</f>
        <v>#N/A</v>
      </c>
      <c r="C53" s="26" t="str">
        <f ca="1">IFERROR(INDEX(FREIGHT!$D:$D,$B53),"")</f>
        <v/>
      </c>
      <c r="D53" s="27" t="str">
        <f ca="1">IFERROR(INDEX(FREIGHT!$I:$I,$B53),"")</f>
        <v/>
      </c>
      <c r="E53" s="27" t="str">
        <f ca="1">IFERROR(INDEX(FREIGHT!$J:$J,$B53),"")</f>
        <v/>
      </c>
      <c r="F53" s="27" t="str">
        <f ca="1">IFERROR(INDEX(FREIGHT!$K:$K,$B53),"")</f>
        <v/>
      </c>
      <c r="G53" s="27" t="str">
        <f ca="1">IFERROR(INDEX(FREIGHT!$L:$L,$B53),"")</f>
        <v/>
      </c>
      <c r="H53" s="32" t="str">
        <f ca="1">IFERROR(INDEX(FREIGHT!$O:$O,$B53),"")</f>
        <v/>
      </c>
      <c r="I53" s="28" t="str">
        <f ca="1">IFERROR(INDEX(FREIGHT!$P:$P,$B53),"")</f>
        <v/>
      </c>
      <c r="J53" s="30" t="str">
        <f ca="1">IFERROR(INDEX(FREIGHT!$Q:$Q,$B53),"")</f>
        <v/>
      </c>
      <c r="K53" s="30" t="str">
        <f ca="1">IFERROR(INDEX(FREIGHT!$R:$R,$B53),"")</f>
        <v/>
      </c>
      <c r="L53" s="30" t="str">
        <f ca="1">IFERROR(INDEX(FREIGHT!$S:$S,$B53),"")</f>
        <v/>
      </c>
      <c r="M53" s="30" t="str">
        <f ca="1">IFERROR(INDEX(FREIGHT!$T:$T,$B53),"")</f>
        <v/>
      </c>
      <c r="N53" s="30" t="str">
        <f ca="1">IFERROR(INDEX(FREIGHT!$U:$U,$B53),"")</f>
        <v/>
      </c>
      <c r="O53" s="26" t="str">
        <f ca="1">IFERROR(INDEX(FREIGHT!$E:$E,$B53),"")</f>
        <v/>
      </c>
    </row>
    <row r="54" spans="1:15" ht="12.6" customHeight="1" x14ac:dyDescent="0.3">
      <c r="A54" s="16">
        <f ca="1">SUBTOTAL(3,C$6:C54)</f>
        <v>49</v>
      </c>
      <c r="B54" s="25" t="e">
        <f ca="1">MATCH($E$2,OFFSET(FREIGHT!$A$1,B53,0,1000,1),0)+B53</f>
        <v>#N/A</v>
      </c>
      <c r="C54" s="26" t="str">
        <f ca="1">IFERROR(INDEX(FREIGHT!$D:$D,$B54),"")</f>
        <v/>
      </c>
      <c r="D54" s="27" t="str">
        <f ca="1">IFERROR(INDEX(FREIGHT!$I:$I,$B54),"")</f>
        <v/>
      </c>
      <c r="E54" s="27" t="str">
        <f ca="1">IFERROR(INDEX(FREIGHT!$J:$J,$B54),"")</f>
        <v/>
      </c>
      <c r="F54" s="27" t="str">
        <f ca="1">IFERROR(INDEX(FREIGHT!$K:$K,$B54),"")</f>
        <v/>
      </c>
      <c r="G54" s="27" t="str">
        <f ca="1">IFERROR(INDEX(FREIGHT!$L:$L,$B54),"")</f>
        <v/>
      </c>
      <c r="H54" s="32" t="str">
        <f ca="1">IFERROR(INDEX(FREIGHT!$O:$O,$B54),"")</f>
        <v/>
      </c>
      <c r="I54" s="28" t="str">
        <f ca="1">IFERROR(INDEX(FREIGHT!$P:$P,$B54),"")</f>
        <v/>
      </c>
      <c r="J54" s="30" t="str">
        <f ca="1">IFERROR(INDEX(FREIGHT!$Q:$Q,$B54),"")</f>
        <v/>
      </c>
      <c r="K54" s="30" t="str">
        <f ca="1">IFERROR(INDEX(FREIGHT!$R:$R,$B54),"")</f>
        <v/>
      </c>
      <c r="L54" s="30" t="str">
        <f ca="1">IFERROR(INDEX(FREIGHT!$S:$S,$B54),"")</f>
        <v/>
      </c>
      <c r="M54" s="30" t="str">
        <f ca="1">IFERROR(INDEX(FREIGHT!$T:$T,$B54),"")</f>
        <v/>
      </c>
      <c r="N54" s="30" t="str">
        <f ca="1">IFERROR(INDEX(FREIGHT!$U:$U,$B54),"")</f>
        <v/>
      </c>
      <c r="O54" s="26" t="str">
        <f ca="1">IFERROR(INDEX(FREIGHT!$E:$E,$B54),"")</f>
        <v/>
      </c>
    </row>
    <row r="55" spans="1:15" ht="12.6" customHeight="1" x14ac:dyDescent="0.3">
      <c r="A55" s="16">
        <f ca="1">SUBTOTAL(3,C$6:C55)</f>
        <v>50</v>
      </c>
      <c r="B55" s="25" t="e">
        <f ca="1">MATCH($E$2,OFFSET(FREIGHT!$A$1,B54,0,1000,1),0)+B54</f>
        <v>#N/A</v>
      </c>
      <c r="C55" s="26" t="str">
        <f ca="1">IFERROR(INDEX(FREIGHT!$D:$D,$B55),"")</f>
        <v/>
      </c>
      <c r="D55" s="27" t="str">
        <f ca="1">IFERROR(INDEX(FREIGHT!$I:$I,$B55),"")</f>
        <v/>
      </c>
      <c r="E55" s="27" t="str">
        <f ca="1">IFERROR(INDEX(FREIGHT!$J:$J,$B55),"")</f>
        <v/>
      </c>
      <c r="F55" s="27" t="str">
        <f ca="1">IFERROR(INDEX(FREIGHT!$K:$K,$B55),"")</f>
        <v/>
      </c>
      <c r="G55" s="27" t="str">
        <f ca="1">IFERROR(INDEX(FREIGHT!$L:$L,$B55),"")</f>
        <v/>
      </c>
      <c r="H55" s="32" t="str">
        <f ca="1">IFERROR(INDEX(FREIGHT!$O:$O,$B55),"")</f>
        <v/>
      </c>
      <c r="I55" s="28" t="str">
        <f ca="1">IFERROR(INDEX(FREIGHT!$P:$P,$B55),"")</f>
        <v/>
      </c>
      <c r="J55" s="30" t="str">
        <f ca="1">IFERROR(INDEX(FREIGHT!$Q:$Q,$B55),"")</f>
        <v/>
      </c>
      <c r="K55" s="30" t="str">
        <f ca="1">IFERROR(INDEX(FREIGHT!$R:$R,$B55),"")</f>
        <v/>
      </c>
      <c r="L55" s="30" t="str">
        <f ca="1">IFERROR(INDEX(FREIGHT!$S:$S,$B55),"")</f>
        <v/>
      </c>
      <c r="M55" s="30" t="str">
        <f ca="1">IFERROR(INDEX(FREIGHT!$T:$T,$B55),"")</f>
        <v/>
      </c>
      <c r="N55" s="30" t="str">
        <f ca="1">IFERROR(INDEX(FREIGHT!$U:$U,$B55),"")</f>
        <v/>
      </c>
      <c r="O55" s="26" t="str">
        <f ca="1">IFERROR(INDEX(FREIGHT!$E:$E,$B55),"")</f>
        <v/>
      </c>
    </row>
    <row r="56" spans="1:15" ht="12.6" customHeight="1" x14ac:dyDescent="0.3">
      <c r="A56" s="16">
        <f ca="1">SUBTOTAL(3,C$6:C56)</f>
        <v>51</v>
      </c>
      <c r="B56" s="25" t="e">
        <f ca="1">MATCH($E$2,OFFSET(FREIGHT!$A$1,B55,0,1000,1),0)+B55</f>
        <v>#N/A</v>
      </c>
      <c r="C56" s="26" t="str">
        <f ca="1">IFERROR(INDEX(FREIGHT!$D:$D,$B56),"")</f>
        <v/>
      </c>
      <c r="D56" s="27" t="str">
        <f ca="1">IFERROR(INDEX(FREIGHT!$I:$I,$B56),"")</f>
        <v/>
      </c>
      <c r="E56" s="27" t="str">
        <f ca="1">IFERROR(INDEX(FREIGHT!$J:$J,$B56),"")</f>
        <v/>
      </c>
      <c r="F56" s="27" t="str">
        <f ca="1">IFERROR(INDEX(FREIGHT!$K:$K,$B56),"")</f>
        <v/>
      </c>
      <c r="G56" s="27" t="str">
        <f ca="1">IFERROR(INDEX(FREIGHT!$L:$L,$B56),"")</f>
        <v/>
      </c>
      <c r="H56" s="32" t="str">
        <f ca="1">IFERROR(INDEX(FREIGHT!$O:$O,$B56),"")</f>
        <v/>
      </c>
      <c r="I56" s="28" t="str">
        <f ca="1">IFERROR(INDEX(FREIGHT!$P:$P,$B56),"")</f>
        <v/>
      </c>
      <c r="J56" s="30" t="str">
        <f ca="1">IFERROR(INDEX(FREIGHT!$Q:$Q,$B56),"")</f>
        <v/>
      </c>
      <c r="K56" s="30" t="str">
        <f ca="1">IFERROR(INDEX(FREIGHT!$R:$R,$B56),"")</f>
        <v/>
      </c>
      <c r="L56" s="30" t="str">
        <f ca="1">IFERROR(INDEX(FREIGHT!$S:$S,$B56),"")</f>
        <v/>
      </c>
      <c r="M56" s="30" t="str">
        <f ca="1">IFERROR(INDEX(FREIGHT!$T:$T,$B56),"")</f>
        <v/>
      </c>
      <c r="N56" s="30" t="str">
        <f ca="1">IFERROR(INDEX(FREIGHT!$U:$U,$B56),"")</f>
        <v/>
      </c>
      <c r="O56" s="26" t="str">
        <f ca="1">IFERROR(INDEX(FREIGHT!$E:$E,$B56),"")</f>
        <v/>
      </c>
    </row>
    <row r="57" spans="1:15" ht="12.6" customHeight="1" x14ac:dyDescent="0.3">
      <c r="A57" s="16">
        <f ca="1">SUBTOTAL(3,C$6:C57)</f>
        <v>52</v>
      </c>
      <c r="B57" s="25" t="e">
        <f ca="1">MATCH($E$2,OFFSET(FREIGHT!$A$1,B56,0,1000,1),0)+B56</f>
        <v>#N/A</v>
      </c>
      <c r="C57" s="26" t="str">
        <f ca="1">IFERROR(INDEX(FREIGHT!$D:$D,$B57),"")</f>
        <v/>
      </c>
      <c r="D57" s="27" t="str">
        <f ca="1">IFERROR(INDEX(FREIGHT!$I:$I,$B57),"")</f>
        <v/>
      </c>
      <c r="E57" s="27" t="str">
        <f ca="1">IFERROR(INDEX(FREIGHT!$J:$J,$B57),"")</f>
        <v/>
      </c>
      <c r="F57" s="27" t="str">
        <f ca="1">IFERROR(INDEX(FREIGHT!$K:$K,$B57),"")</f>
        <v/>
      </c>
      <c r="G57" s="27" t="str">
        <f ca="1">IFERROR(INDEX(FREIGHT!$L:$L,$B57),"")</f>
        <v/>
      </c>
      <c r="H57" s="32" t="str">
        <f ca="1">IFERROR(INDEX(FREIGHT!$O:$O,$B57),"")</f>
        <v/>
      </c>
      <c r="I57" s="28" t="str">
        <f ca="1">IFERROR(INDEX(FREIGHT!$P:$P,$B57),"")</f>
        <v/>
      </c>
      <c r="J57" s="30" t="str">
        <f ca="1">IFERROR(INDEX(FREIGHT!$Q:$Q,$B57),"")</f>
        <v/>
      </c>
      <c r="K57" s="30" t="str">
        <f ca="1">IFERROR(INDEX(FREIGHT!$R:$R,$B57),"")</f>
        <v/>
      </c>
      <c r="L57" s="30" t="str">
        <f ca="1">IFERROR(INDEX(FREIGHT!$S:$S,$B57),"")</f>
        <v/>
      </c>
      <c r="M57" s="30" t="str">
        <f ca="1">IFERROR(INDEX(FREIGHT!$T:$T,$B57),"")</f>
        <v/>
      </c>
      <c r="N57" s="30" t="str">
        <f ca="1">IFERROR(INDEX(FREIGHT!$U:$U,$B57),"")</f>
        <v/>
      </c>
      <c r="O57" s="26" t="str">
        <f ca="1">IFERROR(INDEX(FREIGHT!$E:$E,$B57),"")</f>
        <v/>
      </c>
    </row>
    <row r="58" spans="1:15" ht="12.6" customHeight="1" x14ac:dyDescent="0.3">
      <c r="A58" s="16">
        <f ca="1">SUBTOTAL(3,C$6:C58)</f>
        <v>53</v>
      </c>
      <c r="B58" s="25" t="e">
        <f ca="1">MATCH($E$2,OFFSET(FREIGHT!$A$1,B57,0,1000,1),0)+B57</f>
        <v>#N/A</v>
      </c>
      <c r="C58" s="26" t="str">
        <f ca="1">IFERROR(INDEX(FREIGHT!$D:$D,$B58),"")</f>
        <v/>
      </c>
      <c r="D58" s="27" t="str">
        <f ca="1">IFERROR(INDEX(FREIGHT!$I:$I,$B58),"")</f>
        <v/>
      </c>
      <c r="E58" s="27" t="str">
        <f ca="1">IFERROR(INDEX(FREIGHT!$J:$J,$B58),"")</f>
        <v/>
      </c>
      <c r="F58" s="27" t="str">
        <f ca="1">IFERROR(INDEX(FREIGHT!$K:$K,$B58),"")</f>
        <v/>
      </c>
      <c r="G58" s="27" t="str">
        <f ca="1">IFERROR(INDEX(FREIGHT!$L:$L,$B58),"")</f>
        <v/>
      </c>
      <c r="H58" s="32" t="str">
        <f ca="1">IFERROR(INDEX(FREIGHT!$O:$O,$B58),"")</f>
        <v/>
      </c>
      <c r="I58" s="28" t="str">
        <f ca="1">IFERROR(INDEX(FREIGHT!$P:$P,$B58),"")</f>
        <v/>
      </c>
      <c r="J58" s="30" t="str">
        <f ca="1">IFERROR(INDEX(FREIGHT!$Q:$Q,$B58),"")</f>
        <v/>
      </c>
      <c r="K58" s="30" t="str">
        <f ca="1">IFERROR(INDEX(FREIGHT!$R:$R,$B58),"")</f>
        <v/>
      </c>
      <c r="L58" s="30" t="str">
        <f ca="1">IFERROR(INDEX(FREIGHT!$S:$S,$B58),"")</f>
        <v/>
      </c>
      <c r="M58" s="30" t="str">
        <f ca="1">IFERROR(INDEX(FREIGHT!$T:$T,$B58),"")</f>
        <v/>
      </c>
      <c r="N58" s="30" t="str">
        <f ca="1">IFERROR(INDEX(FREIGHT!$U:$U,$B58),"")</f>
        <v/>
      </c>
      <c r="O58" s="26" t="str">
        <f ca="1">IFERROR(INDEX(FREIGHT!$E:$E,$B58),"")</f>
        <v/>
      </c>
    </row>
    <row r="59" spans="1:15" ht="12.6" customHeight="1" x14ac:dyDescent="0.3">
      <c r="A59" s="16">
        <f ca="1">SUBTOTAL(3,C$6:C59)</f>
        <v>54</v>
      </c>
      <c r="B59" s="25" t="e">
        <f ca="1">MATCH($E$2,OFFSET(FREIGHT!$A$1,B58,0,1000,1),0)+B58</f>
        <v>#N/A</v>
      </c>
      <c r="C59" s="26" t="str">
        <f ca="1">IFERROR(INDEX(FREIGHT!$D:$D,$B59),"")</f>
        <v/>
      </c>
      <c r="D59" s="27" t="str">
        <f ca="1">IFERROR(INDEX(FREIGHT!$I:$I,$B59),"")</f>
        <v/>
      </c>
      <c r="E59" s="27" t="str">
        <f ca="1">IFERROR(INDEX(FREIGHT!$J:$J,$B59),"")</f>
        <v/>
      </c>
      <c r="F59" s="27" t="str">
        <f ca="1">IFERROR(INDEX(FREIGHT!$K:$K,$B59),"")</f>
        <v/>
      </c>
      <c r="G59" s="27" t="str">
        <f ca="1">IFERROR(INDEX(FREIGHT!$L:$L,$B59),"")</f>
        <v/>
      </c>
      <c r="H59" s="32" t="str">
        <f ca="1">IFERROR(INDEX(FREIGHT!$O:$O,$B59),"")</f>
        <v/>
      </c>
      <c r="I59" s="28" t="str">
        <f ca="1">IFERROR(INDEX(FREIGHT!$P:$P,$B59),"")</f>
        <v/>
      </c>
      <c r="J59" s="30" t="str">
        <f ca="1">IFERROR(INDEX(FREIGHT!$Q:$Q,$B59),"")</f>
        <v/>
      </c>
      <c r="K59" s="30" t="str">
        <f ca="1">IFERROR(INDEX(FREIGHT!$R:$R,$B59),"")</f>
        <v/>
      </c>
      <c r="L59" s="30" t="str">
        <f ca="1">IFERROR(INDEX(FREIGHT!$S:$S,$B59),"")</f>
        <v/>
      </c>
      <c r="M59" s="30" t="str">
        <f ca="1">IFERROR(INDEX(FREIGHT!$T:$T,$B59),"")</f>
        <v/>
      </c>
      <c r="N59" s="30" t="str">
        <f ca="1">IFERROR(INDEX(FREIGHT!$U:$U,$B59),"")</f>
        <v/>
      </c>
      <c r="O59" s="26" t="str">
        <f ca="1">IFERROR(INDEX(FREIGHT!$E:$E,$B59),"")</f>
        <v/>
      </c>
    </row>
    <row r="60" spans="1:15" ht="12.6" customHeight="1" x14ac:dyDescent="0.3">
      <c r="A60" s="16">
        <f ca="1">SUBTOTAL(3,C$6:C60)</f>
        <v>55</v>
      </c>
      <c r="B60" s="25" t="e">
        <f ca="1">MATCH($E$2,OFFSET(FREIGHT!$A$1,B59,0,1000,1),0)+B59</f>
        <v>#N/A</v>
      </c>
      <c r="C60" s="26" t="str">
        <f ca="1">IFERROR(INDEX(FREIGHT!$D:$D,$B60),"")</f>
        <v/>
      </c>
      <c r="D60" s="27" t="str">
        <f ca="1">IFERROR(INDEX(FREIGHT!$I:$I,$B60),"")</f>
        <v/>
      </c>
      <c r="E60" s="27" t="str">
        <f ca="1">IFERROR(INDEX(FREIGHT!$J:$J,$B60),"")</f>
        <v/>
      </c>
      <c r="F60" s="27" t="str">
        <f ca="1">IFERROR(INDEX(FREIGHT!$K:$K,$B60),"")</f>
        <v/>
      </c>
      <c r="G60" s="27" t="str">
        <f ca="1">IFERROR(INDEX(FREIGHT!$L:$L,$B60),"")</f>
        <v/>
      </c>
      <c r="H60" s="32" t="str">
        <f ca="1">IFERROR(INDEX(FREIGHT!$O:$O,$B60),"")</f>
        <v/>
      </c>
      <c r="I60" s="28" t="str">
        <f ca="1">IFERROR(INDEX(FREIGHT!$P:$P,$B60),"")</f>
        <v/>
      </c>
      <c r="J60" s="30" t="str">
        <f ca="1">IFERROR(INDEX(FREIGHT!$Q:$Q,$B60),"")</f>
        <v/>
      </c>
      <c r="K60" s="30" t="str">
        <f ca="1">IFERROR(INDEX(FREIGHT!$R:$R,$B60),"")</f>
        <v/>
      </c>
      <c r="L60" s="30" t="str">
        <f ca="1">IFERROR(INDEX(FREIGHT!$S:$S,$B60),"")</f>
        <v/>
      </c>
      <c r="M60" s="30" t="str">
        <f ca="1">IFERROR(INDEX(FREIGHT!$T:$T,$B60),"")</f>
        <v/>
      </c>
      <c r="N60" s="30" t="str">
        <f ca="1">IFERROR(INDEX(FREIGHT!$U:$U,$B60),"")</f>
        <v/>
      </c>
      <c r="O60" s="26" t="str">
        <f ca="1">IFERROR(INDEX(FREIGHT!$E:$E,$B60),"")</f>
        <v/>
      </c>
    </row>
    <row r="61" spans="1:15" ht="12.6" customHeight="1" x14ac:dyDescent="0.3">
      <c r="A61" s="16">
        <f ca="1">SUBTOTAL(3,C$6:C61)</f>
        <v>56</v>
      </c>
      <c r="B61" s="25" t="e">
        <f ca="1">MATCH($E$2,OFFSET(FREIGHT!$A$1,B60,0,1000,1),0)+B60</f>
        <v>#N/A</v>
      </c>
      <c r="C61" s="26" t="str">
        <f ca="1">IFERROR(INDEX(FREIGHT!$D:$D,$B61),"")</f>
        <v/>
      </c>
      <c r="D61" s="27" t="str">
        <f ca="1">IFERROR(INDEX(FREIGHT!$I:$I,$B61),"")</f>
        <v/>
      </c>
      <c r="E61" s="27" t="str">
        <f ca="1">IFERROR(INDEX(FREIGHT!$J:$J,$B61),"")</f>
        <v/>
      </c>
      <c r="F61" s="27" t="str">
        <f ca="1">IFERROR(INDEX(FREIGHT!$K:$K,$B61),"")</f>
        <v/>
      </c>
      <c r="G61" s="27" t="str">
        <f ca="1">IFERROR(INDEX(FREIGHT!$L:$L,$B61),"")</f>
        <v/>
      </c>
      <c r="H61" s="32" t="str">
        <f ca="1">IFERROR(INDEX(FREIGHT!$O:$O,$B61),"")</f>
        <v/>
      </c>
      <c r="I61" s="28" t="str">
        <f ca="1">IFERROR(INDEX(FREIGHT!$P:$P,$B61),"")</f>
        <v/>
      </c>
      <c r="J61" s="30" t="str">
        <f ca="1">IFERROR(INDEX(FREIGHT!$Q:$Q,$B61),"")</f>
        <v/>
      </c>
      <c r="K61" s="30" t="str">
        <f ca="1">IFERROR(INDEX(FREIGHT!$R:$R,$B61),"")</f>
        <v/>
      </c>
      <c r="L61" s="30" t="str">
        <f ca="1">IFERROR(INDEX(FREIGHT!$S:$S,$B61),"")</f>
        <v/>
      </c>
      <c r="M61" s="30" t="str">
        <f ca="1">IFERROR(INDEX(FREIGHT!$T:$T,$B61),"")</f>
        <v/>
      </c>
      <c r="N61" s="30" t="str">
        <f ca="1">IFERROR(INDEX(FREIGHT!$U:$U,$B61),"")</f>
        <v/>
      </c>
      <c r="O61" s="26" t="str">
        <f ca="1">IFERROR(INDEX(FREIGHT!$E:$E,$B61),"")</f>
        <v/>
      </c>
    </row>
    <row r="62" spans="1:15" ht="12.6" customHeight="1" x14ac:dyDescent="0.3">
      <c r="A62" s="16">
        <f ca="1">SUBTOTAL(3,C$6:C62)</f>
        <v>57</v>
      </c>
      <c r="B62" s="25" t="e">
        <f ca="1">MATCH($E$2,OFFSET(FREIGHT!$A$1,B61,0,1000,1),0)+B61</f>
        <v>#N/A</v>
      </c>
      <c r="C62" s="26" t="str">
        <f ca="1">IFERROR(INDEX(FREIGHT!$D:$D,$B62),"")</f>
        <v/>
      </c>
      <c r="D62" s="27" t="str">
        <f ca="1">IFERROR(INDEX(FREIGHT!$I:$I,$B62),"")</f>
        <v/>
      </c>
      <c r="E62" s="27" t="str">
        <f ca="1">IFERROR(INDEX(FREIGHT!$J:$J,$B62),"")</f>
        <v/>
      </c>
      <c r="F62" s="27" t="str">
        <f ca="1">IFERROR(INDEX(FREIGHT!$K:$K,$B62),"")</f>
        <v/>
      </c>
      <c r="G62" s="27" t="str">
        <f ca="1">IFERROR(INDEX(FREIGHT!$L:$L,$B62),"")</f>
        <v/>
      </c>
      <c r="H62" s="32" t="str">
        <f ca="1">IFERROR(INDEX(FREIGHT!$O:$O,$B62),"")</f>
        <v/>
      </c>
      <c r="I62" s="28" t="str">
        <f ca="1">IFERROR(INDEX(FREIGHT!$P:$P,$B62),"")</f>
        <v/>
      </c>
      <c r="J62" s="30" t="str">
        <f ca="1">IFERROR(INDEX(FREIGHT!$Q:$Q,$B62),"")</f>
        <v/>
      </c>
      <c r="K62" s="30" t="str">
        <f ca="1">IFERROR(INDEX(FREIGHT!$R:$R,$B62),"")</f>
        <v/>
      </c>
      <c r="L62" s="30" t="str">
        <f ca="1">IFERROR(INDEX(FREIGHT!$S:$S,$B62),"")</f>
        <v/>
      </c>
      <c r="M62" s="30" t="str">
        <f ca="1">IFERROR(INDEX(FREIGHT!$T:$T,$B62),"")</f>
        <v/>
      </c>
      <c r="N62" s="30" t="str">
        <f ca="1">IFERROR(INDEX(FREIGHT!$U:$U,$B62),"")</f>
        <v/>
      </c>
      <c r="O62" s="26" t="str">
        <f ca="1">IFERROR(INDEX(FREIGHT!$E:$E,$B62),"")</f>
        <v/>
      </c>
    </row>
    <row r="63" spans="1:15" ht="12.6" customHeight="1" x14ac:dyDescent="0.3">
      <c r="A63" s="16">
        <f ca="1">SUBTOTAL(3,C$6:C63)</f>
        <v>58</v>
      </c>
      <c r="B63" s="25" t="e">
        <f ca="1">MATCH($E$2,OFFSET(FREIGHT!$A$1,B62,0,1000,1),0)+B62</f>
        <v>#N/A</v>
      </c>
      <c r="C63" s="26" t="str">
        <f ca="1">IFERROR(INDEX(FREIGHT!$D:$D,$B63),"")</f>
        <v/>
      </c>
      <c r="D63" s="27" t="str">
        <f ca="1">IFERROR(INDEX(FREIGHT!$I:$I,$B63),"")</f>
        <v/>
      </c>
      <c r="E63" s="27" t="str">
        <f ca="1">IFERROR(INDEX(FREIGHT!$J:$J,$B63),"")</f>
        <v/>
      </c>
      <c r="F63" s="27" t="str">
        <f ca="1">IFERROR(INDEX(FREIGHT!$K:$K,$B63),"")</f>
        <v/>
      </c>
      <c r="G63" s="27" t="str">
        <f ca="1">IFERROR(INDEX(FREIGHT!$L:$L,$B63),"")</f>
        <v/>
      </c>
      <c r="H63" s="32" t="str">
        <f ca="1">IFERROR(INDEX(FREIGHT!$O:$O,$B63),"")</f>
        <v/>
      </c>
      <c r="I63" s="28" t="str">
        <f ca="1">IFERROR(INDEX(FREIGHT!$P:$P,$B63),"")</f>
        <v/>
      </c>
      <c r="J63" s="30" t="str">
        <f ca="1">IFERROR(INDEX(FREIGHT!$Q:$Q,$B63),"")</f>
        <v/>
      </c>
      <c r="K63" s="30" t="str">
        <f ca="1">IFERROR(INDEX(FREIGHT!$R:$R,$B63),"")</f>
        <v/>
      </c>
      <c r="L63" s="30" t="str">
        <f ca="1">IFERROR(INDEX(FREIGHT!$S:$S,$B63),"")</f>
        <v/>
      </c>
      <c r="M63" s="30" t="str">
        <f ca="1">IFERROR(INDEX(FREIGHT!$T:$T,$B63),"")</f>
        <v/>
      </c>
      <c r="N63" s="30" t="str">
        <f ca="1">IFERROR(INDEX(FREIGHT!$U:$U,$B63),"")</f>
        <v/>
      </c>
      <c r="O63" s="26" t="str">
        <f ca="1">IFERROR(INDEX(FREIGHT!$E:$E,$B63),"")</f>
        <v/>
      </c>
    </row>
    <row r="64" spans="1:15" s="33" customFormat="1" ht="12.6" customHeight="1" x14ac:dyDescent="0.3">
      <c r="A64" s="42"/>
      <c r="B64" s="42"/>
      <c r="C64" s="42"/>
      <c r="D64" s="42"/>
      <c r="E64" s="42"/>
      <c r="F64" s="42"/>
      <c r="G64" s="42"/>
      <c r="H64" s="43"/>
      <c r="I64" s="44"/>
      <c r="J64" s="45"/>
      <c r="K64" s="46">
        <f ca="1">SUM(K6:K63)</f>
        <v>83750</v>
      </c>
      <c r="L64" s="46">
        <f ca="1">SUM(L6:L63)</f>
        <v>7000</v>
      </c>
      <c r="M64" s="46">
        <f ca="1">SUM(M6:M63)</f>
        <v>94750</v>
      </c>
      <c r="N64" s="42"/>
      <c r="O64" s="42"/>
    </row>
  </sheetData>
  <mergeCells count="3">
    <mergeCell ref="A2:C2"/>
    <mergeCell ref="A3:C3"/>
    <mergeCell ref="A4:C4"/>
  </mergeCells>
  <conditionalFormatting sqref="B6:B63">
    <cfRule type="expression" dxfId="36" priority="1">
      <formula>ISNA($H6)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1"/>
  <sheetViews>
    <sheetView workbookViewId="0">
      <selection activeCell="E8" sqref="E8"/>
    </sheetView>
  </sheetViews>
  <sheetFormatPr defaultRowHeight="14.4" x14ac:dyDescent="0.3"/>
  <cols>
    <col min="1" max="1" width="4.88671875" customWidth="1"/>
    <col min="2" max="2" width="14.109375" bestFit="1" customWidth="1"/>
    <col min="3" max="3" width="11.109375" bestFit="1" customWidth="1"/>
    <col min="4" max="4" width="16.109375" bestFit="1" customWidth="1"/>
    <col min="5" max="5" width="11.5546875" customWidth="1"/>
  </cols>
  <sheetData>
    <row r="2" spans="1:9" s="2" customFormat="1" ht="28.8" x14ac:dyDescent="0.3">
      <c r="A2" s="5" t="s">
        <v>9</v>
      </c>
      <c r="B2" s="5" t="s">
        <v>12</v>
      </c>
      <c r="C2" s="5" t="s">
        <v>21</v>
      </c>
      <c r="D2" s="5" t="s">
        <v>32</v>
      </c>
      <c r="E2" s="5" t="s">
        <v>22</v>
      </c>
      <c r="F2" s="5" t="s">
        <v>56</v>
      </c>
      <c r="G2" s="5"/>
      <c r="H2" s="5"/>
      <c r="I2" s="5"/>
    </row>
    <row r="3" spans="1:9" x14ac:dyDescent="0.3">
      <c r="A3" s="4">
        <v>1</v>
      </c>
      <c r="B3" s="4" t="s">
        <v>103</v>
      </c>
      <c r="C3" s="4" t="s">
        <v>10</v>
      </c>
      <c r="D3" s="4" t="s">
        <v>108</v>
      </c>
      <c r="E3" s="4">
        <v>123</v>
      </c>
      <c r="F3" s="4"/>
      <c r="G3" s="4"/>
      <c r="H3" s="4"/>
      <c r="I3" s="4"/>
    </row>
    <row r="4" spans="1:9" x14ac:dyDescent="0.3">
      <c r="A4" s="4">
        <v>2</v>
      </c>
      <c r="B4" s="4" t="s">
        <v>107</v>
      </c>
      <c r="C4" s="4" t="s">
        <v>33</v>
      </c>
      <c r="D4" s="4" t="s">
        <v>108</v>
      </c>
      <c r="E4" s="4">
        <v>123</v>
      </c>
      <c r="F4" s="4"/>
      <c r="G4" s="4"/>
      <c r="H4" s="4"/>
      <c r="I4" s="4"/>
    </row>
    <row r="5" spans="1:9" x14ac:dyDescent="0.3">
      <c r="A5" s="4">
        <v>3</v>
      </c>
      <c r="B5" s="4" t="s">
        <v>84</v>
      </c>
      <c r="C5" s="4" t="s">
        <v>10</v>
      </c>
      <c r="D5" s="4" t="s">
        <v>85</v>
      </c>
      <c r="E5" s="4">
        <v>789</v>
      </c>
      <c r="F5" s="4"/>
      <c r="G5" s="4"/>
      <c r="H5" s="4"/>
      <c r="I5" s="4"/>
    </row>
    <row r="6" spans="1:9" x14ac:dyDescent="0.3">
      <c r="A6" s="4">
        <v>4</v>
      </c>
      <c r="B6" s="4" t="s">
        <v>109</v>
      </c>
      <c r="C6" s="4" t="s">
        <v>110</v>
      </c>
      <c r="D6" s="4" t="s">
        <v>108</v>
      </c>
      <c r="E6" s="4">
        <v>456</v>
      </c>
      <c r="F6" s="4"/>
      <c r="G6" s="4"/>
      <c r="H6" s="4"/>
      <c r="I6" s="4"/>
    </row>
    <row r="7" spans="1:9" x14ac:dyDescent="0.3">
      <c r="A7" s="4">
        <v>5</v>
      </c>
      <c r="B7" s="4" t="s">
        <v>111</v>
      </c>
      <c r="C7" s="4" t="s">
        <v>10</v>
      </c>
      <c r="D7" s="4" t="s">
        <v>112</v>
      </c>
      <c r="E7" s="4">
        <v>555</v>
      </c>
      <c r="F7" s="4"/>
      <c r="G7" s="4"/>
      <c r="H7" s="4"/>
      <c r="I7" s="4"/>
    </row>
    <row r="8" spans="1:9" x14ac:dyDescent="0.3">
      <c r="A8" s="4">
        <v>6</v>
      </c>
      <c r="B8" s="4"/>
      <c r="C8" s="4"/>
      <c r="D8" s="4"/>
      <c r="E8" s="4"/>
      <c r="F8" s="4"/>
      <c r="G8" s="4"/>
      <c r="H8" s="4"/>
      <c r="I8" s="4"/>
    </row>
    <row r="9" spans="1:9" x14ac:dyDescent="0.3">
      <c r="A9" s="4">
        <v>7</v>
      </c>
      <c r="B9" s="4"/>
      <c r="C9" s="4"/>
      <c r="D9" s="4"/>
      <c r="E9" s="4"/>
      <c r="F9" s="4"/>
      <c r="G9" s="4"/>
      <c r="H9" s="4"/>
      <c r="I9" s="4"/>
    </row>
    <row r="10" spans="1:9" x14ac:dyDescent="0.3">
      <c r="A10" s="4">
        <v>8</v>
      </c>
      <c r="B10" s="4"/>
      <c r="C10" s="4"/>
      <c r="D10" s="4"/>
      <c r="E10" s="4"/>
      <c r="F10" s="4"/>
      <c r="G10" s="4"/>
      <c r="H10" s="4"/>
      <c r="I10" s="4"/>
    </row>
    <row r="11" spans="1:9" x14ac:dyDescent="0.3">
      <c r="A11" s="4">
        <v>9</v>
      </c>
      <c r="B11" s="4"/>
      <c r="C11" s="4"/>
      <c r="D11" s="4"/>
      <c r="E11" s="4"/>
      <c r="F11" s="4"/>
      <c r="G11" s="4"/>
      <c r="H11" s="4"/>
      <c r="I11" s="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3EFB-98E0-4E4F-8310-500F6F2F4ADA}">
  <dimension ref="A1:K33"/>
  <sheetViews>
    <sheetView workbookViewId="0">
      <selection activeCell="I7" sqref="I7"/>
    </sheetView>
  </sheetViews>
  <sheetFormatPr defaultRowHeight="14.4" x14ac:dyDescent="0.3"/>
  <cols>
    <col min="1" max="1" width="6" bestFit="1" customWidth="1"/>
    <col min="2" max="2" width="10.33203125" bestFit="1" customWidth="1"/>
    <col min="3" max="3" width="5.109375" bestFit="1" customWidth="1"/>
    <col min="4" max="4" width="13.6640625" bestFit="1" customWidth="1"/>
    <col min="5" max="5" width="6.5546875" bestFit="1" customWidth="1"/>
    <col min="6" max="6" width="7.21875" bestFit="1" customWidth="1"/>
    <col min="7" max="7" width="13.109375" bestFit="1" customWidth="1"/>
    <col min="8" max="8" width="6.33203125" bestFit="1" customWidth="1"/>
    <col min="9" max="9" width="9" bestFit="1" customWidth="1"/>
  </cols>
  <sheetData>
    <row r="1" spans="1:11" x14ac:dyDescent="0.3">
      <c r="A1" s="1"/>
    </row>
    <row r="2" spans="1:11" x14ac:dyDescent="0.3">
      <c r="A2" s="151" t="s">
        <v>9</v>
      </c>
      <c r="B2" s="149" t="s">
        <v>0</v>
      </c>
      <c r="C2" s="149" t="s">
        <v>73</v>
      </c>
      <c r="D2" s="149" t="s">
        <v>74</v>
      </c>
      <c r="E2" s="149" t="s">
        <v>1</v>
      </c>
      <c r="F2" s="149" t="s">
        <v>11</v>
      </c>
      <c r="G2" s="149" t="s">
        <v>75</v>
      </c>
      <c r="H2" s="149" t="s">
        <v>76</v>
      </c>
      <c r="I2" s="149" t="s">
        <v>77</v>
      </c>
      <c r="J2" s="149"/>
      <c r="K2" s="2"/>
    </row>
    <row r="3" spans="1:11" x14ac:dyDescent="0.3">
      <c r="A3" s="152"/>
      <c r="B3" s="150"/>
      <c r="C3" s="150"/>
      <c r="D3" s="150"/>
      <c r="E3" s="150"/>
      <c r="F3" s="150"/>
      <c r="G3" s="150"/>
      <c r="H3" s="150"/>
      <c r="I3" s="150"/>
      <c r="J3" s="150"/>
    </row>
    <row r="4" spans="1:11" x14ac:dyDescent="0.3">
      <c r="A4" s="3">
        <f>SUBTOTAL(3,B$4:B4)</f>
        <v>1</v>
      </c>
      <c r="B4" s="112">
        <v>46113</v>
      </c>
      <c r="C4" s="113" t="s">
        <v>78</v>
      </c>
      <c r="D4" s="113" t="s">
        <v>79</v>
      </c>
      <c r="E4" s="113"/>
      <c r="F4" s="113" t="s">
        <v>95</v>
      </c>
      <c r="G4" s="113" t="s">
        <v>80</v>
      </c>
      <c r="H4" s="113"/>
      <c r="I4" s="113">
        <v>5000</v>
      </c>
      <c r="J4" s="113"/>
    </row>
    <row r="5" spans="1:11" x14ac:dyDescent="0.3">
      <c r="A5" s="3">
        <f>SUBTOTAL(3,B$4:B5)</f>
        <v>2</v>
      </c>
      <c r="B5" s="112">
        <v>46114</v>
      </c>
      <c r="C5" s="113" t="s">
        <v>78</v>
      </c>
      <c r="D5" s="113" t="s">
        <v>81</v>
      </c>
      <c r="E5" s="113"/>
      <c r="F5" s="113" t="s">
        <v>105</v>
      </c>
      <c r="G5" s="113" t="s">
        <v>82</v>
      </c>
      <c r="H5" s="113"/>
      <c r="I5" s="113">
        <v>2000</v>
      </c>
      <c r="J5" s="113"/>
    </row>
    <row r="6" spans="1:11" x14ac:dyDescent="0.3">
      <c r="A6" s="3">
        <f>SUBTOTAL(3,B$4:B6)</f>
        <v>3</v>
      </c>
      <c r="B6" s="112">
        <v>46115</v>
      </c>
      <c r="C6" s="113" t="s">
        <v>78</v>
      </c>
      <c r="D6" s="113" t="s">
        <v>79</v>
      </c>
      <c r="E6" s="113"/>
      <c r="F6" s="113" t="s">
        <v>106</v>
      </c>
      <c r="G6" s="113" t="s">
        <v>83</v>
      </c>
      <c r="H6" s="113"/>
      <c r="I6" s="113">
        <v>3000</v>
      </c>
      <c r="J6" s="113"/>
    </row>
    <row r="7" spans="1:11" x14ac:dyDescent="0.3">
      <c r="A7" s="3">
        <f>SUBTOTAL(3,B$4:B7)</f>
        <v>3</v>
      </c>
      <c r="B7" s="112"/>
      <c r="C7" s="113"/>
      <c r="D7" s="113"/>
      <c r="E7" s="113"/>
      <c r="F7" s="113"/>
      <c r="G7" s="113"/>
      <c r="H7" s="113"/>
      <c r="I7" s="113"/>
      <c r="J7" s="113"/>
    </row>
    <row r="8" spans="1:11" x14ac:dyDescent="0.3">
      <c r="A8" s="3">
        <f>SUBTOTAL(3,B$4:B8)</f>
        <v>3</v>
      </c>
      <c r="B8" s="112"/>
      <c r="C8" s="113"/>
      <c r="D8" s="113"/>
      <c r="E8" s="113"/>
      <c r="F8" s="113"/>
      <c r="G8" s="113"/>
      <c r="H8" s="113"/>
      <c r="I8" s="113"/>
      <c r="J8" s="113"/>
    </row>
    <row r="9" spans="1:11" x14ac:dyDescent="0.3">
      <c r="A9" s="3">
        <f>SUBTOTAL(3,B$4:B9)</f>
        <v>3</v>
      </c>
      <c r="B9" s="113"/>
      <c r="C9" s="113"/>
      <c r="D9" s="113"/>
      <c r="E9" s="113"/>
      <c r="F9" s="113"/>
      <c r="G9" s="113"/>
      <c r="H9" s="113"/>
      <c r="I9" s="113"/>
      <c r="J9" s="113"/>
    </row>
    <row r="10" spans="1:11" x14ac:dyDescent="0.3">
      <c r="A10" s="3">
        <f>SUBTOTAL(3,B$4:B10)</f>
        <v>3</v>
      </c>
      <c r="B10" s="113"/>
      <c r="C10" s="113"/>
      <c r="D10" s="113"/>
      <c r="E10" s="113"/>
      <c r="F10" s="113"/>
      <c r="G10" s="113"/>
      <c r="H10" s="113"/>
      <c r="I10" s="113"/>
      <c r="J10" s="113"/>
    </row>
    <row r="11" spans="1:11" x14ac:dyDescent="0.3">
      <c r="A11" s="3">
        <f>SUBTOTAL(3,B$4:B11)</f>
        <v>3</v>
      </c>
      <c r="B11" s="113"/>
      <c r="C11" s="113"/>
      <c r="D11" s="113"/>
      <c r="E11" s="113"/>
      <c r="F11" s="113"/>
      <c r="G11" s="113"/>
      <c r="H11" s="113"/>
      <c r="I11" s="113"/>
      <c r="J11" s="113"/>
    </row>
    <row r="12" spans="1:11" x14ac:dyDescent="0.3">
      <c r="A12" s="3">
        <f>SUBTOTAL(3,B$4:B12)</f>
        <v>3</v>
      </c>
      <c r="B12" s="113"/>
      <c r="C12" s="113"/>
      <c r="D12" s="113"/>
      <c r="E12" s="113"/>
      <c r="F12" s="113"/>
      <c r="G12" s="113"/>
      <c r="H12" s="113"/>
      <c r="I12" s="113"/>
      <c r="J12" s="113"/>
    </row>
    <row r="13" spans="1:11" x14ac:dyDescent="0.3">
      <c r="A13" s="3">
        <f>SUBTOTAL(3,B$4:B13)</f>
        <v>3</v>
      </c>
      <c r="B13" s="113"/>
      <c r="C13" s="113"/>
      <c r="D13" s="113"/>
      <c r="E13" s="113"/>
      <c r="F13" s="113"/>
      <c r="G13" s="113"/>
      <c r="H13" s="113"/>
      <c r="I13" s="113"/>
      <c r="J13" s="113"/>
    </row>
    <row r="14" spans="1:11" x14ac:dyDescent="0.3">
      <c r="A14" s="3">
        <f>SUBTOTAL(3,B$4:B14)</f>
        <v>3</v>
      </c>
      <c r="B14" s="113"/>
      <c r="C14" s="113"/>
      <c r="D14" s="113"/>
      <c r="E14" s="113"/>
      <c r="F14" s="113"/>
      <c r="G14" s="113"/>
      <c r="H14" s="113"/>
      <c r="I14" s="113"/>
      <c r="J14" s="113"/>
    </row>
    <row r="15" spans="1:11" x14ac:dyDescent="0.3">
      <c r="A15" s="3">
        <f>SUBTOTAL(3,B$4:B15)</f>
        <v>3</v>
      </c>
      <c r="B15" s="113"/>
      <c r="C15" s="113"/>
      <c r="D15" s="113"/>
      <c r="E15" s="113"/>
      <c r="F15" s="113"/>
      <c r="G15" s="113"/>
      <c r="H15" s="113"/>
      <c r="I15" s="113"/>
      <c r="J15" s="113"/>
    </row>
    <row r="16" spans="1:11" x14ac:dyDescent="0.3">
      <c r="A16" s="3">
        <f>SUBTOTAL(3,B$4:B16)</f>
        <v>3</v>
      </c>
      <c r="B16" s="113"/>
      <c r="C16" s="113"/>
      <c r="D16" s="113"/>
      <c r="E16" s="113"/>
      <c r="F16" s="113"/>
      <c r="G16" s="113"/>
      <c r="H16" s="113"/>
      <c r="I16" s="113"/>
      <c r="J16" s="113"/>
    </row>
    <row r="17" spans="1:10" x14ac:dyDescent="0.3">
      <c r="A17" s="3">
        <f>SUBTOTAL(3,B$4:B17)</f>
        <v>3</v>
      </c>
      <c r="B17" s="113"/>
      <c r="C17" s="113"/>
      <c r="D17" s="113"/>
      <c r="E17" s="113"/>
      <c r="F17" s="113"/>
      <c r="G17" s="113"/>
      <c r="H17" s="113"/>
      <c r="I17" s="113"/>
      <c r="J17" s="113"/>
    </row>
    <row r="18" spans="1:10" x14ac:dyDescent="0.3">
      <c r="A18" s="3">
        <f>SUBTOTAL(3,B$4:B18)</f>
        <v>3</v>
      </c>
      <c r="B18" s="113"/>
      <c r="C18" s="113"/>
      <c r="D18" s="113"/>
      <c r="E18" s="113"/>
      <c r="F18" s="113"/>
      <c r="G18" s="113"/>
      <c r="H18" s="113"/>
      <c r="I18" s="113"/>
      <c r="J18" s="113"/>
    </row>
    <row r="19" spans="1:10" x14ac:dyDescent="0.3">
      <c r="A19" s="3">
        <f>SUBTOTAL(3,B$4:B19)</f>
        <v>3</v>
      </c>
      <c r="B19" s="113"/>
      <c r="C19" s="113"/>
      <c r="D19" s="113"/>
      <c r="E19" s="113"/>
      <c r="F19" s="113"/>
      <c r="G19" s="113"/>
      <c r="H19" s="113"/>
      <c r="I19" s="113"/>
      <c r="J19" s="113"/>
    </row>
    <row r="20" spans="1:10" x14ac:dyDescent="0.3">
      <c r="A20" s="3">
        <f>SUBTOTAL(3,B$4:B20)</f>
        <v>3</v>
      </c>
      <c r="B20" s="113"/>
      <c r="C20" s="113"/>
      <c r="D20" s="113"/>
      <c r="E20" s="113"/>
      <c r="F20" s="113"/>
      <c r="G20" s="113"/>
      <c r="H20" s="113"/>
      <c r="I20" s="113"/>
      <c r="J20" s="113"/>
    </row>
    <row r="21" spans="1:10" x14ac:dyDescent="0.3">
      <c r="A21" s="3">
        <f>SUBTOTAL(3,B$4:B21)</f>
        <v>3</v>
      </c>
      <c r="B21" s="113"/>
      <c r="C21" s="113"/>
      <c r="D21" s="113"/>
      <c r="E21" s="113"/>
      <c r="F21" s="113"/>
      <c r="G21" s="113"/>
      <c r="H21" s="113"/>
      <c r="I21" s="113"/>
      <c r="J21" s="113"/>
    </row>
    <row r="22" spans="1:10" x14ac:dyDescent="0.3">
      <c r="A22" s="3">
        <f>SUBTOTAL(3,B$4:B22)</f>
        <v>3</v>
      </c>
      <c r="B22" s="113"/>
      <c r="C22" s="113"/>
      <c r="D22" s="113"/>
      <c r="E22" s="113"/>
      <c r="F22" s="113"/>
      <c r="G22" s="113"/>
      <c r="H22" s="113"/>
      <c r="I22" s="113"/>
      <c r="J22" s="113"/>
    </row>
    <row r="23" spans="1:10" x14ac:dyDescent="0.3">
      <c r="A23" s="3">
        <f>SUBTOTAL(3,B$4:B23)</f>
        <v>3</v>
      </c>
      <c r="B23" s="113"/>
      <c r="C23" s="113"/>
      <c r="D23" s="113"/>
      <c r="E23" s="113"/>
      <c r="F23" s="113"/>
      <c r="G23" s="113"/>
      <c r="H23" s="113"/>
      <c r="I23" s="113"/>
      <c r="J23" s="113"/>
    </row>
    <row r="24" spans="1:10" x14ac:dyDescent="0.3">
      <c r="A24" s="3">
        <f>SUBTOTAL(3,B$4:B24)</f>
        <v>3</v>
      </c>
      <c r="B24" s="113"/>
      <c r="C24" s="113"/>
      <c r="D24" s="113"/>
      <c r="E24" s="113"/>
      <c r="F24" s="113"/>
      <c r="G24" s="113"/>
      <c r="H24" s="113"/>
      <c r="I24" s="113"/>
      <c r="J24" s="113"/>
    </row>
    <row r="25" spans="1:10" x14ac:dyDescent="0.3">
      <c r="A25" s="3">
        <f>SUBTOTAL(3,B$4:B25)</f>
        <v>3</v>
      </c>
      <c r="B25" s="113"/>
      <c r="C25" s="113"/>
      <c r="D25" s="113"/>
      <c r="E25" s="113"/>
      <c r="F25" s="113"/>
      <c r="G25" s="113"/>
      <c r="H25" s="113"/>
      <c r="I25" s="113"/>
      <c r="J25" s="113"/>
    </row>
    <row r="26" spans="1:10" x14ac:dyDescent="0.3">
      <c r="A26" s="3">
        <f>SUBTOTAL(3,B$4:B26)</f>
        <v>3</v>
      </c>
      <c r="B26" s="113"/>
      <c r="C26" s="113"/>
      <c r="D26" s="113"/>
      <c r="E26" s="113"/>
      <c r="F26" s="113"/>
      <c r="G26" s="113"/>
      <c r="H26" s="113"/>
      <c r="I26" s="113"/>
      <c r="J26" s="113"/>
    </row>
    <row r="27" spans="1:10" x14ac:dyDescent="0.3">
      <c r="A27" s="3">
        <f>SUBTOTAL(3,B$4:B27)</f>
        <v>3</v>
      </c>
      <c r="B27" s="113"/>
      <c r="C27" s="113"/>
      <c r="D27" s="113"/>
      <c r="E27" s="113"/>
      <c r="F27" s="113"/>
      <c r="G27" s="113"/>
      <c r="H27" s="113"/>
      <c r="I27" s="113"/>
      <c r="J27" s="113"/>
    </row>
    <row r="28" spans="1:10" x14ac:dyDescent="0.3">
      <c r="A28" s="3">
        <f>SUBTOTAL(3,B$4:B28)</f>
        <v>3</v>
      </c>
      <c r="B28" s="113"/>
      <c r="C28" s="113"/>
      <c r="D28" s="113"/>
      <c r="E28" s="113"/>
      <c r="F28" s="113"/>
      <c r="G28" s="113"/>
      <c r="H28" s="113"/>
      <c r="I28" s="113"/>
      <c r="J28" s="113"/>
    </row>
    <row r="29" spans="1:10" x14ac:dyDescent="0.3">
      <c r="A29" s="3">
        <f>SUBTOTAL(3,B$4:B29)</f>
        <v>3</v>
      </c>
      <c r="B29" s="113"/>
      <c r="C29" s="113"/>
      <c r="D29" s="113"/>
      <c r="E29" s="113"/>
      <c r="F29" s="113"/>
      <c r="G29" s="113"/>
      <c r="H29" s="113"/>
      <c r="I29" s="113"/>
      <c r="J29" s="113"/>
    </row>
    <row r="30" spans="1:10" x14ac:dyDescent="0.3">
      <c r="A30" s="3">
        <f>SUBTOTAL(3,B$4:B30)</f>
        <v>3</v>
      </c>
      <c r="B30" s="113"/>
      <c r="C30" s="113"/>
      <c r="D30" s="113"/>
      <c r="E30" s="113"/>
      <c r="F30" s="113"/>
      <c r="G30" s="113"/>
      <c r="H30" s="113"/>
      <c r="I30" s="113"/>
      <c r="J30" s="113"/>
    </row>
    <row r="31" spans="1:10" x14ac:dyDescent="0.3">
      <c r="A31" s="3">
        <f>SUBTOTAL(3,B$4:B31)</f>
        <v>3</v>
      </c>
      <c r="B31" s="113"/>
      <c r="C31" s="113"/>
      <c r="D31" s="113"/>
      <c r="E31" s="113"/>
      <c r="F31" s="113"/>
      <c r="G31" s="113"/>
      <c r="H31" s="113"/>
      <c r="I31" s="113"/>
      <c r="J31" s="113"/>
    </row>
    <row r="32" spans="1:10" x14ac:dyDescent="0.3">
      <c r="A32" s="1"/>
    </row>
    <row r="33" spans="1:1" x14ac:dyDescent="0.3">
      <c r="A33" s="1"/>
    </row>
  </sheetData>
  <mergeCells count="10"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FREIGHT</vt:lpstr>
      <vt:lpstr>Bill to Invoice</vt:lpstr>
      <vt:lpstr>ANNEXURE</vt:lpstr>
      <vt:lpstr>PARTY CREATION</vt:lpstr>
      <vt:lpstr>EXPENSES</vt:lpstr>
    </vt:vector>
  </TitlesOfParts>
  <Company>Smartsheet.com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Ramos</dc:creator>
  <cp:lastModifiedBy>Hiraman Narawade</cp:lastModifiedBy>
  <cp:lastPrinted>2026-07-15T07:53:47Z</cp:lastPrinted>
  <dcterms:created xsi:type="dcterms:W3CDTF">2016-01-05T17:01:40Z</dcterms:created>
  <dcterms:modified xsi:type="dcterms:W3CDTF">2026-07-15T08:22:23Z</dcterms:modified>
</cp:coreProperties>
</file>